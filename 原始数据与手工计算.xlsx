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测试数据\"/>
    </mc:Choice>
  </mc:AlternateContent>
  <bookViews>
    <workbookView xWindow="0" yWindow="0" windowWidth="23040" windowHeight="914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5" i="1" l="1"/>
  <c r="I295" i="1" s="1"/>
  <c r="B292" i="1"/>
  <c r="H290" i="1"/>
  <c r="I290" i="1" s="1"/>
  <c r="H286" i="1"/>
  <c r="I286" i="1" s="1"/>
  <c r="I281" i="1"/>
  <c r="H281" i="1"/>
  <c r="H277" i="1"/>
  <c r="I277" i="1" s="1"/>
  <c r="I273" i="1"/>
  <c r="H273" i="1"/>
  <c r="H265" i="1"/>
  <c r="I265" i="1" s="1"/>
  <c r="B262" i="1"/>
  <c r="H260" i="1"/>
  <c r="I260" i="1" s="1"/>
  <c r="H256" i="1"/>
  <c r="I256" i="1" s="1"/>
  <c r="I251" i="1"/>
  <c r="J253" i="1" s="1"/>
  <c r="H251" i="1"/>
  <c r="H247" i="1"/>
  <c r="I247" i="1" s="1"/>
  <c r="J249" i="1" s="1"/>
  <c r="I243" i="1"/>
  <c r="H243" i="1"/>
  <c r="H235" i="1"/>
  <c r="I235" i="1" s="1"/>
  <c r="B232" i="1"/>
  <c r="H230" i="1"/>
  <c r="I230" i="1" s="1"/>
  <c r="H226" i="1"/>
  <c r="I226" i="1" s="1"/>
  <c r="I221" i="1"/>
  <c r="H221" i="1"/>
  <c r="H217" i="1"/>
  <c r="I217" i="1" s="1"/>
  <c r="J218" i="1" s="1"/>
  <c r="I213" i="1"/>
  <c r="H213" i="1"/>
  <c r="T153" i="1"/>
  <c r="H205" i="1"/>
  <c r="I205" i="1" s="1"/>
  <c r="B202" i="1"/>
  <c r="H200" i="1"/>
  <c r="I200" i="1" s="1"/>
  <c r="H196" i="1"/>
  <c r="I196" i="1" s="1"/>
  <c r="H191" i="1"/>
  <c r="I191" i="1" s="1"/>
  <c r="H187" i="1"/>
  <c r="I187" i="1" s="1"/>
  <c r="H183" i="1"/>
  <c r="I183" i="1" s="1"/>
  <c r="H175" i="1"/>
  <c r="I175" i="1" s="1"/>
  <c r="B172" i="1"/>
  <c r="H170" i="1"/>
  <c r="I170" i="1" s="1"/>
  <c r="H166" i="1"/>
  <c r="I166" i="1" s="1"/>
  <c r="H161" i="1"/>
  <c r="I161" i="1" s="1"/>
  <c r="H157" i="1"/>
  <c r="I157" i="1" s="1"/>
  <c r="H153" i="1"/>
  <c r="I153" i="1" s="1"/>
  <c r="U124" i="1"/>
  <c r="H145" i="1"/>
  <c r="I145" i="1" s="1"/>
  <c r="B142" i="1"/>
  <c r="H140" i="1"/>
  <c r="I140" i="1" s="1"/>
  <c r="H136" i="1"/>
  <c r="I136" i="1" s="1"/>
  <c r="J137" i="1" s="1"/>
  <c r="H131" i="1"/>
  <c r="I131" i="1" s="1"/>
  <c r="H127" i="1"/>
  <c r="I127" i="1" s="1"/>
  <c r="H123" i="1"/>
  <c r="I123" i="1" s="1"/>
  <c r="J5" i="1"/>
  <c r="F6" i="1"/>
  <c r="O69" i="1"/>
  <c r="J294" i="1" l="1"/>
  <c r="J291" i="1"/>
  <c r="J292" i="1"/>
  <c r="J293" i="1"/>
  <c r="J290" i="1"/>
  <c r="J275" i="1"/>
  <c r="J273" i="1"/>
  <c r="J276" i="1"/>
  <c r="J274" i="1"/>
  <c r="J279" i="1"/>
  <c r="J277" i="1"/>
  <c r="J280" i="1"/>
  <c r="J278" i="1"/>
  <c r="J283" i="1"/>
  <c r="J281" i="1"/>
  <c r="J285" i="1"/>
  <c r="J284" i="1"/>
  <c r="J282" i="1"/>
  <c r="J287" i="1"/>
  <c r="J289" i="1"/>
  <c r="J288" i="1"/>
  <c r="J286" i="1"/>
  <c r="J298" i="1"/>
  <c r="J296" i="1"/>
  <c r="J297" i="1"/>
  <c r="J295" i="1"/>
  <c r="J245" i="1"/>
  <c r="J257" i="1"/>
  <c r="J259" i="1"/>
  <c r="J258" i="1"/>
  <c r="J256" i="1"/>
  <c r="K249" i="1"/>
  <c r="L249" i="1" s="1"/>
  <c r="J264" i="1"/>
  <c r="J261" i="1"/>
  <c r="J263" i="1"/>
  <c r="J262" i="1"/>
  <c r="J260" i="1"/>
  <c r="K245" i="1"/>
  <c r="L245" i="1" s="1"/>
  <c r="K253" i="1"/>
  <c r="L253" i="1" s="1"/>
  <c r="J268" i="1"/>
  <c r="J267" i="1"/>
  <c r="J265" i="1"/>
  <c r="J266" i="1"/>
  <c r="J244" i="1"/>
  <c r="J243" i="1"/>
  <c r="J246" i="1"/>
  <c r="J250" i="1"/>
  <c r="J254" i="1"/>
  <c r="J255" i="1"/>
  <c r="J248" i="1"/>
  <c r="J252" i="1"/>
  <c r="J247" i="1"/>
  <c r="J251" i="1"/>
  <c r="J214" i="1"/>
  <c r="J238" i="1"/>
  <c r="J237" i="1"/>
  <c r="J235" i="1"/>
  <c r="J236" i="1"/>
  <c r="J227" i="1"/>
  <c r="J229" i="1"/>
  <c r="J228" i="1"/>
  <c r="J226" i="1"/>
  <c r="K214" i="1"/>
  <c r="L214" i="1" s="1"/>
  <c r="J223" i="1"/>
  <c r="K218" i="1"/>
  <c r="L218" i="1" s="1"/>
  <c r="J234" i="1"/>
  <c r="J231" i="1"/>
  <c r="J233" i="1"/>
  <c r="J232" i="1"/>
  <c r="J230" i="1"/>
  <c r="J213" i="1"/>
  <c r="J215" i="1"/>
  <c r="J217" i="1"/>
  <c r="J219" i="1"/>
  <c r="J216" i="1"/>
  <c r="J220" i="1"/>
  <c r="J224" i="1"/>
  <c r="J225" i="1"/>
  <c r="J222" i="1"/>
  <c r="J221" i="1"/>
  <c r="J189" i="1"/>
  <c r="J187" i="1"/>
  <c r="J188" i="1"/>
  <c r="J190" i="1"/>
  <c r="J208" i="1"/>
  <c r="J207" i="1"/>
  <c r="J205" i="1"/>
  <c r="J206" i="1"/>
  <c r="J197" i="1"/>
  <c r="J199" i="1"/>
  <c r="J198" i="1"/>
  <c r="J196" i="1"/>
  <c r="J193" i="1"/>
  <c r="J191" i="1"/>
  <c r="J192" i="1"/>
  <c r="J195" i="1"/>
  <c r="J194" i="1"/>
  <c r="J185" i="1"/>
  <c r="J183" i="1"/>
  <c r="J184" i="1"/>
  <c r="J186" i="1"/>
  <c r="J204" i="1"/>
  <c r="J201" i="1"/>
  <c r="J203" i="1"/>
  <c r="J202" i="1"/>
  <c r="J200" i="1"/>
  <c r="J155" i="1"/>
  <c r="J153" i="1"/>
  <c r="J154" i="1"/>
  <c r="J159" i="1"/>
  <c r="J157" i="1"/>
  <c r="J158" i="1"/>
  <c r="J163" i="1"/>
  <c r="J161" i="1"/>
  <c r="J164" i="1"/>
  <c r="J162" i="1"/>
  <c r="J165" i="1"/>
  <c r="J167" i="1"/>
  <c r="J166" i="1"/>
  <c r="J169" i="1"/>
  <c r="J168" i="1"/>
  <c r="J156" i="1"/>
  <c r="J160" i="1"/>
  <c r="J174" i="1"/>
  <c r="J171" i="1"/>
  <c r="J173" i="1"/>
  <c r="J172" i="1"/>
  <c r="J170" i="1"/>
  <c r="J178" i="1"/>
  <c r="J177" i="1"/>
  <c r="J175" i="1"/>
  <c r="J176" i="1"/>
  <c r="J133" i="1"/>
  <c r="J131" i="1"/>
  <c r="J132" i="1"/>
  <c r="J135" i="1"/>
  <c r="J134" i="1"/>
  <c r="J142" i="1"/>
  <c r="J125" i="1"/>
  <c r="J123" i="1"/>
  <c r="K123" i="1" s="1"/>
  <c r="J126" i="1"/>
  <c r="J124" i="1"/>
  <c r="J148" i="1"/>
  <c r="J147" i="1"/>
  <c r="J145" i="1"/>
  <c r="J146" i="1"/>
  <c r="J136" i="1"/>
  <c r="K137" i="1"/>
  <c r="L137" i="1" s="1"/>
  <c r="J138" i="1"/>
  <c r="J129" i="1"/>
  <c r="J127" i="1"/>
  <c r="J139" i="1"/>
  <c r="J140" i="1"/>
  <c r="J128" i="1"/>
  <c r="J130" i="1"/>
  <c r="J144" i="1"/>
  <c r="J141" i="1"/>
  <c r="J143" i="1"/>
  <c r="U94" i="1"/>
  <c r="U95" i="1"/>
  <c r="U96" i="1"/>
  <c r="U97" i="1"/>
  <c r="U98" i="1"/>
  <c r="U99" i="1"/>
  <c r="U100" i="1"/>
  <c r="U101" i="1"/>
  <c r="U102" i="1"/>
  <c r="U103" i="1"/>
  <c r="U104" i="1"/>
  <c r="U105" i="1"/>
  <c r="V105" i="1" s="1"/>
  <c r="U106" i="1"/>
  <c r="U107" i="1"/>
  <c r="U108" i="1"/>
  <c r="U109" i="1"/>
  <c r="U110" i="1"/>
  <c r="U111" i="1"/>
  <c r="U112" i="1"/>
  <c r="U113" i="1"/>
  <c r="V113" i="1" s="1"/>
  <c r="U114" i="1"/>
  <c r="U115" i="1"/>
  <c r="U116" i="1"/>
  <c r="U117" i="1"/>
  <c r="U118" i="1"/>
  <c r="U93" i="1"/>
  <c r="P93" i="1"/>
  <c r="T118" i="1"/>
  <c r="V118" i="1" s="1"/>
  <c r="T117" i="1"/>
  <c r="T116" i="1"/>
  <c r="V116" i="1" s="1"/>
  <c r="T115" i="1"/>
  <c r="T114" i="1"/>
  <c r="V114" i="1" s="1"/>
  <c r="T113" i="1"/>
  <c r="T112" i="1"/>
  <c r="V112" i="1" s="1"/>
  <c r="T111" i="1"/>
  <c r="V111" i="1" s="1"/>
  <c r="T110" i="1"/>
  <c r="T109" i="1"/>
  <c r="T108" i="1"/>
  <c r="V108" i="1" s="1"/>
  <c r="V107" i="1"/>
  <c r="T107" i="1"/>
  <c r="T106" i="1"/>
  <c r="T105" i="1"/>
  <c r="T104" i="1"/>
  <c r="V104" i="1" s="1"/>
  <c r="T103" i="1"/>
  <c r="V103" i="1" s="1"/>
  <c r="T102" i="1"/>
  <c r="V102" i="1" s="1"/>
  <c r="T101" i="1"/>
  <c r="T100" i="1"/>
  <c r="V100" i="1" s="1"/>
  <c r="V99" i="1"/>
  <c r="T99" i="1"/>
  <c r="T98" i="1"/>
  <c r="V98" i="1" s="1"/>
  <c r="T97" i="1"/>
  <c r="T96" i="1"/>
  <c r="V96" i="1" s="1"/>
  <c r="T95" i="1"/>
  <c r="V95" i="1" s="1"/>
  <c r="T94" i="1"/>
  <c r="V94" i="1" s="1"/>
  <c r="T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K93" i="1"/>
  <c r="O118" i="1"/>
  <c r="Q118" i="1" s="1"/>
  <c r="O117" i="1"/>
  <c r="Q116" i="1"/>
  <c r="O116" i="1"/>
  <c r="O115" i="1"/>
  <c r="Q114" i="1"/>
  <c r="O114" i="1"/>
  <c r="O113" i="1"/>
  <c r="O112" i="1"/>
  <c r="Q112" i="1" s="1"/>
  <c r="O111" i="1"/>
  <c r="Q111" i="1" s="1"/>
  <c r="O110" i="1"/>
  <c r="O109" i="1"/>
  <c r="Q108" i="1"/>
  <c r="O108" i="1"/>
  <c r="O107" i="1"/>
  <c r="Q107" i="1" s="1"/>
  <c r="O106" i="1"/>
  <c r="O105" i="1"/>
  <c r="Q105" i="1" s="1"/>
  <c r="O104" i="1"/>
  <c r="Q104" i="1" s="1"/>
  <c r="O103" i="1"/>
  <c r="Q103" i="1" s="1"/>
  <c r="Q102" i="1"/>
  <c r="O102" i="1"/>
  <c r="O101" i="1"/>
  <c r="Q100" i="1"/>
  <c r="O100" i="1"/>
  <c r="O99" i="1"/>
  <c r="Q99" i="1" s="1"/>
  <c r="Q98" i="1"/>
  <c r="O98" i="1"/>
  <c r="O97" i="1"/>
  <c r="Q96" i="1"/>
  <c r="O96" i="1"/>
  <c r="O95" i="1"/>
  <c r="Q95" i="1" s="1"/>
  <c r="Q94" i="1"/>
  <c r="O94" i="1"/>
  <c r="O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M93" i="1"/>
  <c r="K63" i="1"/>
  <c r="J118" i="1"/>
  <c r="J117" i="1"/>
  <c r="L117" i="1" s="1"/>
  <c r="L116" i="1"/>
  <c r="J116" i="1"/>
  <c r="J115" i="1"/>
  <c r="L114" i="1"/>
  <c r="J114" i="1"/>
  <c r="J113" i="1"/>
  <c r="L113" i="1" s="1"/>
  <c r="J112" i="1"/>
  <c r="L112" i="1" s="1"/>
  <c r="L111" i="1"/>
  <c r="J111" i="1"/>
  <c r="J110" i="1"/>
  <c r="L109" i="1"/>
  <c r="J109" i="1"/>
  <c r="L108" i="1"/>
  <c r="J108" i="1"/>
  <c r="J107" i="1"/>
  <c r="M106" i="1"/>
  <c r="J106" i="1"/>
  <c r="J105" i="1"/>
  <c r="L105" i="1" s="1"/>
  <c r="J104" i="1"/>
  <c r="L104" i="1" s="1"/>
  <c r="L103" i="1"/>
  <c r="J103" i="1"/>
  <c r="L102" i="1"/>
  <c r="J102" i="1"/>
  <c r="L101" i="1"/>
  <c r="M101" i="1"/>
  <c r="J101" i="1"/>
  <c r="L100" i="1"/>
  <c r="J100" i="1"/>
  <c r="J99" i="1"/>
  <c r="L99" i="1" s="1"/>
  <c r="J98" i="1"/>
  <c r="L98" i="1" s="1"/>
  <c r="J97" i="1"/>
  <c r="J96" i="1"/>
  <c r="L96" i="1" s="1"/>
  <c r="L95" i="1"/>
  <c r="J95" i="1"/>
  <c r="L94" i="1"/>
  <c r="J94" i="1"/>
  <c r="L93" i="1"/>
  <c r="J93" i="1"/>
  <c r="H106" i="1"/>
  <c r="B112" i="1"/>
  <c r="U64" i="1"/>
  <c r="U65" i="1"/>
  <c r="U66" i="1"/>
  <c r="U67" i="1"/>
  <c r="U68" i="1"/>
  <c r="U69" i="1"/>
  <c r="U70" i="1"/>
  <c r="U71" i="1"/>
  <c r="U72" i="1"/>
  <c r="U73" i="1"/>
  <c r="U74" i="1"/>
  <c r="U75" i="1"/>
  <c r="V75" i="1" s="1"/>
  <c r="U76" i="1"/>
  <c r="U77" i="1"/>
  <c r="U78" i="1"/>
  <c r="U79" i="1"/>
  <c r="U80" i="1"/>
  <c r="U81" i="1"/>
  <c r="U82" i="1"/>
  <c r="U83" i="1"/>
  <c r="V83" i="1" s="1"/>
  <c r="U84" i="1"/>
  <c r="U85" i="1"/>
  <c r="U86" i="1"/>
  <c r="U87" i="1"/>
  <c r="U88" i="1"/>
  <c r="U63" i="1"/>
  <c r="P63" i="1"/>
  <c r="T88" i="1"/>
  <c r="V88" i="1" s="1"/>
  <c r="T87" i="1"/>
  <c r="T86" i="1"/>
  <c r="V86" i="1" s="1"/>
  <c r="T85" i="1"/>
  <c r="T84" i="1"/>
  <c r="V84" i="1" s="1"/>
  <c r="T83" i="1"/>
  <c r="T82" i="1"/>
  <c r="V82" i="1" s="1"/>
  <c r="T81" i="1"/>
  <c r="V81" i="1" s="1"/>
  <c r="T80" i="1"/>
  <c r="T79" i="1"/>
  <c r="T78" i="1"/>
  <c r="V78" i="1" s="1"/>
  <c r="V77" i="1"/>
  <c r="T77" i="1"/>
  <c r="T76" i="1"/>
  <c r="T75" i="1"/>
  <c r="T74" i="1"/>
  <c r="V74" i="1" s="1"/>
  <c r="T73" i="1"/>
  <c r="V73" i="1" s="1"/>
  <c r="T72" i="1"/>
  <c r="V72" i="1" s="1"/>
  <c r="T71" i="1"/>
  <c r="T70" i="1"/>
  <c r="V70" i="1" s="1"/>
  <c r="V69" i="1"/>
  <c r="T69" i="1"/>
  <c r="T68" i="1"/>
  <c r="V68" i="1" s="1"/>
  <c r="T67" i="1"/>
  <c r="T66" i="1"/>
  <c r="V66" i="1" s="1"/>
  <c r="T65" i="1"/>
  <c r="V65" i="1" s="1"/>
  <c r="T64" i="1"/>
  <c r="V63" i="1"/>
  <c r="T63" i="1"/>
  <c r="P81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2" i="1"/>
  <c r="P83" i="1"/>
  <c r="P84" i="1"/>
  <c r="P85" i="1"/>
  <c r="P86" i="1"/>
  <c r="P87" i="1"/>
  <c r="P88" i="1"/>
  <c r="O65" i="1"/>
  <c r="O63" i="1"/>
  <c r="O88" i="1"/>
  <c r="O87" i="1"/>
  <c r="Q86" i="1"/>
  <c r="O86" i="1"/>
  <c r="O85" i="1"/>
  <c r="Q84" i="1"/>
  <c r="O84" i="1"/>
  <c r="O83" i="1"/>
  <c r="Q82" i="1"/>
  <c r="O82" i="1"/>
  <c r="O81" i="1"/>
  <c r="Q80" i="1"/>
  <c r="O80" i="1"/>
  <c r="O79" i="1"/>
  <c r="Q78" i="1"/>
  <c r="O78" i="1"/>
  <c r="O77" i="1"/>
  <c r="Q77" i="1" s="1"/>
  <c r="O76" i="1"/>
  <c r="O75" i="1"/>
  <c r="Q75" i="1" s="1"/>
  <c r="Q74" i="1"/>
  <c r="O74" i="1"/>
  <c r="O73" i="1"/>
  <c r="Q73" i="1" s="1"/>
  <c r="Q72" i="1"/>
  <c r="O72" i="1"/>
  <c r="O71" i="1"/>
  <c r="Q70" i="1"/>
  <c r="O70" i="1"/>
  <c r="Q69" i="1"/>
  <c r="Q68" i="1"/>
  <c r="O68" i="1"/>
  <c r="O67" i="1"/>
  <c r="Q66" i="1"/>
  <c r="O66" i="1"/>
  <c r="Q65" i="1"/>
  <c r="Q64" i="1"/>
  <c r="O64" i="1"/>
  <c r="K66" i="1"/>
  <c r="K64" i="1"/>
  <c r="K65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L88" i="1" s="1"/>
  <c r="K33" i="1"/>
  <c r="J64" i="1"/>
  <c r="J63" i="1"/>
  <c r="J88" i="1"/>
  <c r="J87" i="1"/>
  <c r="L87" i="1" s="1"/>
  <c r="L86" i="1"/>
  <c r="J86" i="1"/>
  <c r="J85" i="1"/>
  <c r="L84" i="1"/>
  <c r="J84" i="1"/>
  <c r="J83" i="1"/>
  <c r="L82" i="1"/>
  <c r="J82" i="1"/>
  <c r="J81" i="1"/>
  <c r="L80" i="1"/>
  <c r="J80" i="1"/>
  <c r="J79" i="1"/>
  <c r="L79" i="1" s="1"/>
  <c r="L78" i="1"/>
  <c r="J78" i="1"/>
  <c r="J77" i="1"/>
  <c r="L77" i="1" s="1"/>
  <c r="J76" i="1"/>
  <c r="J75" i="1"/>
  <c r="L74" i="1"/>
  <c r="J74" i="1"/>
  <c r="J73" i="1"/>
  <c r="L73" i="1" s="1"/>
  <c r="L72" i="1"/>
  <c r="J72" i="1"/>
  <c r="J71" i="1"/>
  <c r="L70" i="1"/>
  <c r="J70" i="1"/>
  <c r="J69" i="1"/>
  <c r="L69" i="1" s="1"/>
  <c r="L68" i="1"/>
  <c r="J68" i="1"/>
  <c r="J67" i="1"/>
  <c r="L66" i="1"/>
  <c r="J66" i="1"/>
  <c r="J65" i="1"/>
  <c r="L65" i="1" s="1"/>
  <c r="L64" i="1"/>
  <c r="H71" i="1"/>
  <c r="H76" i="1"/>
  <c r="H63" i="1"/>
  <c r="B82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33" i="1"/>
  <c r="P33" i="1"/>
  <c r="T34" i="1"/>
  <c r="T58" i="1"/>
  <c r="V58" i="1" s="1"/>
  <c r="T57" i="1"/>
  <c r="V56" i="1"/>
  <c r="T56" i="1"/>
  <c r="T55" i="1"/>
  <c r="V54" i="1"/>
  <c r="T54" i="1"/>
  <c r="T53" i="1"/>
  <c r="V53" i="1" s="1"/>
  <c r="T52" i="1"/>
  <c r="V52" i="1" s="1"/>
  <c r="T51" i="1"/>
  <c r="V51" i="1" s="1"/>
  <c r="T50" i="1"/>
  <c r="T49" i="1"/>
  <c r="V49" i="1" s="1"/>
  <c r="V48" i="1"/>
  <c r="T48" i="1"/>
  <c r="T47" i="1"/>
  <c r="V47" i="1" s="1"/>
  <c r="T46" i="1"/>
  <c r="T45" i="1"/>
  <c r="T44" i="1"/>
  <c r="V44" i="1" s="1"/>
  <c r="T43" i="1"/>
  <c r="V43" i="1" s="1"/>
  <c r="V42" i="1"/>
  <c r="T42" i="1"/>
  <c r="T41" i="1"/>
  <c r="V40" i="1"/>
  <c r="T40" i="1"/>
  <c r="T39" i="1"/>
  <c r="V39" i="1" s="1"/>
  <c r="T38" i="1"/>
  <c r="V38" i="1" s="1"/>
  <c r="T37" i="1"/>
  <c r="T36" i="1"/>
  <c r="V36" i="1" s="1"/>
  <c r="T35" i="1"/>
  <c r="V35" i="1" s="1"/>
  <c r="V34" i="1"/>
  <c r="T33" i="1"/>
  <c r="R41" i="1"/>
  <c r="R33" i="1"/>
  <c r="Q44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Q58" i="1" s="1"/>
  <c r="O33" i="1"/>
  <c r="O58" i="1"/>
  <c r="O57" i="1"/>
  <c r="Q56" i="1"/>
  <c r="O56" i="1"/>
  <c r="O55" i="1"/>
  <c r="Q54" i="1"/>
  <c r="O54" i="1"/>
  <c r="O53" i="1"/>
  <c r="Q52" i="1"/>
  <c r="O52" i="1"/>
  <c r="O51" i="1"/>
  <c r="Q50" i="1"/>
  <c r="O50" i="1"/>
  <c r="O49" i="1"/>
  <c r="Q49" i="1" s="1"/>
  <c r="Q48" i="1"/>
  <c r="O48" i="1"/>
  <c r="O47" i="1"/>
  <c r="Q47" i="1" s="1"/>
  <c r="O46" i="1"/>
  <c r="O45" i="1"/>
  <c r="O44" i="1"/>
  <c r="O43" i="1"/>
  <c r="Q43" i="1" s="1"/>
  <c r="Q42" i="1"/>
  <c r="O42" i="1"/>
  <c r="O41" i="1"/>
  <c r="Q40" i="1"/>
  <c r="O40" i="1"/>
  <c r="O39" i="1"/>
  <c r="Q39" i="1" s="1"/>
  <c r="Q38" i="1"/>
  <c r="O38" i="1"/>
  <c r="O37" i="1"/>
  <c r="Q36" i="1"/>
  <c r="O36" i="1"/>
  <c r="O35" i="1"/>
  <c r="Q35" i="1" s="1"/>
  <c r="Q34" i="1"/>
  <c r="O34" i="1"/>
  <c r="M41" i="1"/>
  <c r="M37" i="1"/>
  <c r="M33" i="1"/>
  <c r="K34" i="1"/>
  <c r="K35" i="1"/>
  <c r="K36" i="1"/>
  <c r="K37" i="1"/>
  <c r="K38" i="1"/>
  <c r="K39" i="1"/>
  <c r="K40" i="1"/>
  <c r="K41" i="1"/>
  <c r="K42" i="1"/>
  <c r="L42" i="1" s="1"/>
  <c r="K43" i="1"/>
  <c r="K44" i="1"/>
  <c r="K45" i="1"/>
  <c r="K46" i="1"/>
  <c r="K47" i="1"/>
  <c r="K48" i="1"/>
  <c r="K49" i="1"/>
  <c r="K50" i="1"/>
  <c r="L50" i="1" s="1"/>
  <c r="K51" i="1"/>
  <c r="K52" i="1"/>
  <c r="K53" i="1"/>
  <c r="K54" i="1"/>
  <c r="L54" i="1" s="1"/>
  <c r="K55" i="1"/>
  <c r="K56" i="1"/>
  <c r="K57" i="1"/>
  <c r="K58" i="1"/>
  <c r="J41" i="1"/>
  <c r="J33" i="1"/>
  <c r="J34" i="1"/>
  <c r="J58" i="1"/>
  <c r="J57" i="1"/>
  <c r="L56" i="1"/>
  <c r="J56" i="1"/>
  <c r="J55" i="1"/>
  <c r="J54" i="1"/>
  <c r="J53" i="1"/>
  <c r="L52" i="1"/>
  <c r="J52" i="1"/>
  <c r="J51" i="1"/>
  <c r="J50" i="1"/>
  <c r="J49" i="1"/>
  <c r="L48" i="1"/>
  <c r="J48" i="1"/>
  <c r="J47" i="1"/>
  <c r="L47" i="1" s="1"/>
  <c r="J46" i="1"/>
  <c r="J45" i="1"/>
  <c r="L44" i="1"/>
  <c r="J44" i="1"/>
  <c r="J43" i="1"/>
  <c r="L43" i="1" s="1"/>
  <c r="J42" i="1"/>
  <c r="L40" i="1"/>
  <c r="J40" i="1"/>
  <c r="J39" i="1"/>
  <c r="L39" i="1" s="1"/>
  <c r="L38" i="1"/>
  <c r="J38" i="1"/>
  <c r="J37" i="1"/>
  <c r="L36" i="1"/>
  <c r="J36" i="1"/>
  <c r="J35" i="1"/>
  <c r="L35" i="1" s="1"/>
  <c r="L34" i="1"/>
  <c r="O3" i="1"/>
  <c r="U11" i="1"/>
  <c r="T3" i="1"/>
  <c r="U3" i="1" s="1"/>
  <c r="V3" i="1" s="1"/>
  <c r="T4" i="1"/>
  <c r="U4" i="1" s="1"/>
  <c r="V4" i="1" s="1"/>
  <c r="T5" i="1"/>
  <c r="U5" i="1"/>
  <c r="V5" i="1" s="1"/>
  <c r="T6" i="1"/>
  <c r="U6" i="1"/>
  <c r="V6" i="1"/>
  <c r="T7" i="1"/>
  <c r="U7" i="1" s="1"/>
  <c r="T8" i="1"/>
  <c r="U8" i="1" s="1"/>
  <c r="V8" i="1" s="1"/>
  <c r="T9" i="1"/>
  <c r="U9" i="1"/>
  <c r="V9" i="1" s="1"/>
  <c r="T10" i="1"/>
  <c r="U10" i="1"/>
  <c r="V10" i="1"/>
  <c r="T11" i="1"/>
  <c r="V11" i="1" s="1"/>
  <c r="T12" i="1"/>
  <c r="U12" i="1" s="1"/>
  <c r="V12" i="1" s="1"/>
  <c r="T13" i="1"/>
  <c r="U13" i="1"/>
  <c r="V13" i="1" s="1"/>
  <c r="T14" i="1"/>
  <c r="U14" i="1"/>
  <c r="V14" i="1"/>
  <c r="T15" i="1"/>
  <c r="U15" i="1" s="1"/>
  <c r="V15" i="1" s="1"/>
  <c r="T16" i="1"/>
  <c r="U16" i="1" s="1"/>
  <c r="V16" i="1" s="1"/>
  <c r="T17" i="1"/>
  <c r="U17" i="1"/>
  <c r="V17" i="1" s="1"/>
  <c r="T18" i="1"/>
  <c r="U18" i="1"/>
  <c r="V18" i="1"/>
  <c r="T19" i="1"/>
  <c r="U19" i="1" s="1"/>
  <c r="V19" i="1" s="1"/>
  <c r="T20" i="1"/>
  <c r="U20" i="1" s="1"/>
  <c r="V20" i="1" s="1"/>
  <c r="T21" i="1"/>
  <c r="U21" i="1"/>
  <c r="V21" i="1" s="1"/>
  <c r="T22" i="1"/>
  <c r="U22" i="1"/>
  <c r="V22" i="1"/>
  <c r="T23" i="1"/>
  <c r="U23" i="1" s="1"/>
  <c r="V23" i="1" s="1"/>
  <c r="T24" i="1"/>
  <c r="U24" i="1" s="1"/>
  <c r="V24" i="1" s="1"/>
  <c r="T25" i="1"/>
  <c r="U25" i="1"/>
  <c r="V25" i="1" s="1"/>
  <c r="T26" i="1"/>
  <c r="U26" i="1"/>
  <c r="V26" i="1"/>
  <c r="T27" i="1"/>
  <c r="U27" i="1" s="1"/>
  <c r="V27" i="1" s="1"/>
  <c r="T28" i="1"/>
  <c r="U28" i="1" s="1"/>
  <c r="V28" i="1" s="1"/>
  <c r="B52" i="1"/>
  <c r="S11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R16" i="1" s="1"/>
  <c r="P20" i="1"/>
  <c r="P21" i="1"/>
  <c r="P22" i="1"/>
  <c r="P23" i="1"/>
  <c r="P24" i="1"/>
  <c r="P25" i="1"/>
  <c r="P26" i="1"/>
  <c r="P27" i="1"/>
  <c r="P28" i="1"/>
  <c r="P3" i="1"/>
  <c r="R3" i="1" s="1"/>
  <c r="O4" i="1"/>
  <c r="O28" i="1"/>
  <c r="O27" i="1"/>
  <c r="Q26" i="1"/>
  <c r="O26" i="1"/>
  <c r="O25" i="1"/>
  <c r="Q24" i="1"/>
  <c r="O24" i="1"/>
  <c r="O23" i="1"/>
  <c r="O22" i="1"/>
  <c r="Q22" i="1" s="1"/>
  <c r="O21" i="1"/>
  <c r="Q21" i="1" s="1"/>
  <c r="O20" i="1"/>
  <c r="O19" i="1"/>
  <c r="Q18" i="1"/>
  <c r="O18" i="1"/>
  <c r="O17" i="1"/>
  <c r="Q17" i="1" s="1"/>
  <c r="O16" i="1"/>
  <c r="O15" i="1"/>
  <c r="O14" i="1"/>
  <c r="Q14" i="1" s="1"/>
  <c r="O13" i="1"/>
  <c r="Q13" i="1" s="1"/>
  <c r="Q12" i="1"/>
  <c r="O12" i="1"/>
  <c r="O11" i="1"/>
  <c r="Q10" i="1"/>
  <c r="O10" i="1"/>
  <c r="O9" i="1"/>
  <c r="Q9" i="1" s="1"/>
  <c r="O8" i="1"/>
  <c r="Q8" i="1" s="1"/>
  <c r="O7" i="1"/>
  <c r="O6" i="1"/>
  <c r="Q6" i="1" s="1"/>
  <c r="Q5" i="1"/>
  <c r="O5" i="1"/>
  <c r="N25" i="1"/>
  <c r="N11" i="1"/>
  <c r="I7" i="1"/>
  <c r="L4" i="1"/>
  <c r="K20" i="1"/>
  <c r="K12" i="1"/>
  <c r="K3" i="1"/>
  <c r="F3" i="1"/>
  <c r="J25" i="1"/>
  <c r="J22" i="1"/>
  <c r="K22" i="1" s="1"/>
  <c r="L22" i="1" s="1"/>
  <c r="J20" i="1"/>
  <c r="J18" i="1"/>
  <c r="K18" i="1" s="1"/>
  <c r="L18" i="1" s="1"/>
  <c r="J28" i="1"/>
  <c r="J13" i="1"/>
  <c r="J23" i="1"/>
  <c r="J12" i="1"/>
  <c r="J11" i="1"/>
  <c r="J9" i="1"/>
  <c r="J24" i="1"/>
  <c r="J8" i="1"/>
  <c r="J7" i="1"/>
  <c r="J19" i="1"/>
  <c r="J4" i="1"/>
  <c r="L3" i="1"/>
  <c r="K14" i="1"/>
  <c r="F4" i="1"/>
  <c r="K4" i="1"/>
  <c r="K5" i="1"/>
  <c r="L5" i="1" s="1"/>
  <c r="K6" i="1"/>
  <c r="K7" i="1"/>
  <c r="K8" i="1"/>
  <c r="L8" i="1" s="1"/>
  <c r="K9" i="1"/>
  <c r="K10" i="1"/>
  <c r="K11" i="1"/>
  <c r="L12" i="1"/>
  <c r="K13" i="1"/>
  <c r="L13" i="1" s="1"/>
  <c r="K15" i="1"/>
  <c r="K16" i="1"/>
  <c r="K17" i="1"/>
  <c r="K19" i="1"/>
  <c r="L20" i="1"/>
  <c r="K21" i="1"/>
  <c r="K23" i="1"/>
  <c r="L23" i="1" s="1"/>
  <c r="K24" i="1"/>
  <c r="K25" i="1"/>
  <c r="L25" i="1" s="1"/>
  <c r="K26" i="1"/>
  <c r="K27" i="1"/>
  <c r="K28" i="1"/>
  <c r="J27" i="1"/>
  <c r="J26" i="1"/>
  <c r="J21" i="1"/>
  <c r="J17" i="1"/>
  <c r="J16" i="1"/>
  <c r="J15" i="1"/>
  <c r="L15" i="1" s="1"/>
  <c r="J14" i="1"/>
  <c r="J10" i="1"/>
  <c r="J6" i="1"/>
  <c r="L27" i="1"/>
  <c r="J3" i="1"/>
  <c r="L28" i="1"/>
  <c r="L26" i="1"/>
  <c r="L21" i="1"/>
  <c r="L17" i="1"/>
  <c r="L14" i="1"/>
  <c r="L10" i="1"/>
  <c r="L6" i="1"/>
  <c r="I25" i="1"/>
  <c r="I20" i="1"/>
  <c r="I16" i="1"/>
  <c r="I11" i="1"/>
  <c r="G6" i="1"/>
  <c r="G16" i="1"/>
  <c r="H25" i="1"/>
  <c r="H20" i="1"/>
  <c r="H16" i="1"/>
  <c r="H11" i="1"/>
  <c r="H7" i="1"/>
  <c r="H3" i="1"/>
  <c r="F25" i="1"/>
  <c r="F24" i="1"/>
  <c r="G4" i="1"/>
  <c r="G5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6" i="1"/>
  <c r="F27" i="1"/>
  <c r="F28" i="1"/>
  <c r="G3" i="1"/>
  <c r="B22" i="1"/>
  <c r="K296" i="1" l="1"/>
  <c r="L296" i="1" s="1"/>
  <c r="K289" i="1"/>
  <c r="L289" i="1" s="1"/>
  <c r="K285" i="1"/>
  <c r="L285" i="1" s="1"/>
  <c r="K280" i="1"/>
  <c r="L280" i="1" s="1"/>
  <c r="K276" i="1"/>
  <c r="L276" i="1" s="1"/>
  <c r="K293" i="1"/>
  <c r="L293" i="1" s="1"/>
  <c r="K298" i="1"/>
  <c r="L298" i="1" s="1"/>
  <c r="K287" i="1"/>
  <c r="L287" i="1" s="1"/>
  <c r="K281" i="1"/>
  <c r="K277" i="1"/>
  <c r="K273" i="1"/>
  <c r="K292" i="1"/>
  <c r="L292" i="1" s="1"/>
  <c r="K295" i="1"/>
  <c r="K286" i="1"/>
  <c r="K282" i="1"/>
  <c r="L282" i="1" s="1"/>
  <c r="K283" i="1"/>
  <c r="L283" i="1" s="1"/>
  <c r="K279" i="1"/>
  <c r="L279" i="1" s="1"/>
  <c r="K275" i="1"/>
  <c r="L275" i="1" s="1"/>
  <c r="K291" i="1"/>
  <c r="L291" i="1" s="1"/>
  <c r="K297" i="1"/>
  <c r="L297" i="1" s="1"/>
  <c r="K288" i="1"/>
  <c r="L288" i="1" s="1"/>
  <c r="K284" i="1"/>
  <c r="L284" i="1" s="1"/>
  <c r="K278" i="1"/>
  <c r="L278" i="1" s="1"/>
  <c r="K274" i="1"/>
  <c r="L274" i="1" s="1"/>
  <c r="K290" i="1"/>
  <c r="K294" i="1"/>
  <c r="L294" i="1" s="1"/>
  <c r="K247" i="1"/>
  <c r="K254" i="1"/>
  <c r="L254" i="1" s="1"/>
  <c r="K244" i="1"/>
  <c r="L244" i="1" s="1"/>
  <c r="K268" i="1"/>
  <c r="L268" i="1" s="1"/>
  <c r="K261" i="1"/>
  <c r="L261" i="1" s="1"/>
  <c r="K256" i="1"/>
  <c r="K252" i="1"/>
  <c r="L252" i="1" s="1"/>
  <c r="K250" i="1"/>
  <c r="L250" i="1" s="1"/>
  <c r="K266" i="1"/>
  <c r="L266" i="1" s="1"/>
  <c r="K260" i="1"/>
  <c r="K264" i="1"/>
  <c r="L264" i="1" s="1"/>
  <c r="K258" i="1"/>
  <c r="L258" i="1" s="1"/>
  <c r="K248" i="1"/>
  <c r="L248" i="1" s="1"/>
  <c r="K246" i="1"/>
  <c r="L246" i="1" s="1"/>
  <c r="K265" i="1"/>
  <c r="K262" i="1"/>
  <c r="L262" i="1" s="1"/>
  <c r="K259" i="1"/>
  <c r="L259" i="1" s="1"/>
  <c r="K251" i="1"/>
  <c r="K255" i="1"/>
  <c r="L255" i="1" s="1"/>
  <c r="K243" i="1"/>
  <c r="K267" i="1"/>
  <c r="L267" i="1" s="1"/>
  <c r="K263" i="1"/>
  <c r="L263" i="1" s="1"/>
  <c r="K257" i="1"/>
  <c r="L257" i="1" s="1"/>
  <c r="K221" i="1"/>
  <c r="K220" i="1"/>
  <c r="L220" i="1" s="1"/>
  <c r="K215" i="1"/>
  <c r="L215" i="1" s="1"/>
  <c r="K233" i="1"/>
  <c r="L233" i="1" s="1"/>
  <c r="K226" i="1"/>
  <c r="K236" i="1"/>
  <c r="L236" i="1" s="1"/>
  <c r="K222" i="1"/>
  <c r="L222" i="1" s="1"/>
  <c r="K216" i="1"/>
  <c r="L216" i="1" s="1"/>
  <c r="K213" i="1"/>
  <c r="K231" i="1"/>
  <c r="L231" i="1" s="1"/>
  <c r="K223" i="1"/>
  <c r="L223" i="1" s="1"/>
  <c r="K228" i="1"/>
  <c r="L228" i="1" s="1"/>
  <c r="K235" i="1"/>
  <c r="K225" i="1"/>
  <c r="L225" i="1" s="1"/>
  <c r="K219" i="1"/>
  <c r="L219" i="1" s="1"/>
  <c r="K230" i="1"/>
  <c r="K234" i="1"/>
  <c r="L234" i="1" s="1"/>
  <c r="K229" i="1"/>
  <c r="L229" i="1" s="1"/>
  <c r="K237" i="1"/>
  <c r="L237" i="1" s="1"/>
  <c r="K224" i="1"/>
  <c r="L224" i="1" s="1"/>
  <c r="K217" i="1"/>
  <c r="K232" i="1"/>
  <c r="L232" i="1" s="1"/>
  <c r="K227" i="1"/>
  <c r="L227" i="1" s="1"/>
  <c r="K238" i="1"/>
  <c r="L238" i="1" s="1"/>
  <c r="K203" i="1"/>
  <c r="L203" i="1" s="1"/>
  <c r="K184" i="1"/>
  <c r="L184" i="1" s="1"/>
  <c r="K195" i="1"/>
  <c r="L195" i="1" s="1"/>
  <c r="K196" i="1"/>
  <c r="K206" i="1"/>
  <c r="L206" i="1" s="1"/>
  <c r="K190" i="1"/>
  <c r="L190" i="1" s="1"/>
  <c r="K201" i="1"/>
  <c r="L201" i="1" s="1"/>
  <c r="K183" i="1"/>
  <c r="K192" i="1"/>
  <c r="L192" i="1" s="1"/>
  <c r="K198" i="1"/>
  <c r="L198" i="1" s="1"/>
  <c r="K205" i="1"/>
  <c r="K188" i="1"/>
  <c r="L188" i="1" s="1"/>
  <c r="K200" i="1"/>
  <c r="K204" i="1"/>
  <c r="L204" i="1" s="1"/>
  <c r="K185" i="1"/>
  <c r="L185" i="1" s="1"/>
  <c r="K191" i="1"/>
  <c r="K199" i="1"/>
  <c r="L199" i="1" s="1"/>
  <c r="K207" i="1"/>
  <c r="L207" i="1" s="1"/>
  <c r="K187" i="1"/>
  <c r="K202" i="1"/>
  <c r="L202" i="1" s="1"/>
  <c r="K186" i="1"/>
  <c r="L186" i="1" s="1"/>
  <c r="K194" i="1"/>
  <c r="L194" i="1" s="1"/>
  <c r="K193" i="1"/>
  <c r="L193" i="1" s="1"/>
  <c r="K197" i="1"/>
  <c r="L197" i="1" s="1"/>
  <c r="K208" i="1"/>
  <c r="L208" i="1" s="1"/>
  <c r="K189" i="1"/>
  <c r="L189" i="1" s="1"/>
  <c r="K167" i="1"/>
  <c r="L167" i="1" s="1"/>
  <c r="K178" i="1"/>
  <c r="L178" i="1" s="1"/>
  <c r="K171" i="1"/>
  <c r="L171" i="1" s="1"/>
  <c r="K168" i="1"/>
  <c r="L168" i="1" s="1"/>
  <c r="K165" i="1"/>
  <c r="L165" i="1" s="1"/>
  <c r="K163" i="1"/>
  <c r="L163" i="1" s="1"/>
  <c r="K154" i="1"/>
  <c r="L154" i="1" s="1"/>
  <c r="K173" i="1"/>
  <c r="L173" i="1" s="1"/>
  <c r="K159" i="1"/>
  <c r="L159" i="1" s="1"/>
  <c r="K176" i="1"/>
  <c r="L176" i="1" s="1"/>
  <c r="K170" i="1"/>
  <c r="K174" i="1"/>
  <c r="L174" i="1" s="1"/>
  <c r="K169" i="1"/>
  <c r="L169" i="1" s="1"/>
  <c r="K162" i="1"/>
  <c r="L162" i="1" s="1"/>
  <c r="K158" i="1"/>
  <c r="L158" i="1" s="1"/>
  <c r="K153" i="1"/>
  <c r="K177" i="1"/>
  <c r="L177" i="1" s="1"/>
  <c r="K156" i="1"/>
  <c r="L156" i="1" s="1"/>
  <c r="K161" i="1"/>
  <c r="K175" i="1"/>
  <c r="K172" i="1"/>
  <c r="L172" i="1" s="1"/>
  <c r="K160" i="1"/>
  <c r="L160" i="1" s="1"/>
  <c r="K166" i="1"/>
  <c r="K164" i="1"/>
  <c r="L164" i="1" s="1"/>
  <c r="K157" i="1"/>
  <c r="K155" i="1"/>
  <c r="L155" i="1" s="1"/>
  <c r="K130" i="1"/>
  <c r="L130" i="1" s="1"/>
  <c r="K136" i="1"/>
  <c r="K143" i="1"/>
  <c r="L143" i="1" s="1"/>
  <c r="K128" i="1"/>
  <c r="L128" i="1" s="1"/>
  <c r="K129" i="1"/>
  <c r="L129" i="1" s="1"/>
  <c r="K148" i="1"/>
  <c r="L148" i="1" s="1"/>
  <c r="K125" i="1"/>
  <c r="L125" i="1" s="1"/>
  <c r="K132" i="1"/>
  <c r="L132" i="1" s="1"/>
  <c r="K127" i="1"/>
  <c r="K135" i="1"/>
  <c r="L135" i="1" s="1"/>
  <c r="K141" i="1"/>
  <c r="L141" i="1" s="1"/>
  <c r="K140" i="1"/>
  <c r="K138" i="1"/>
  <c r="L138" i="1" s="1"/>
  <c r="K146" i="1"/>
  <c r="L146" i="1" s="1"/>
  <c r="K124" i="1"/>
  <c r="L124" i="1" s="1"/>
  <c r="K142" i="1"/>
  <c r="L142" i="1" s="1"/>
  <c r="K131" i="1"/>
  <c r="K147" i="1"/>
  <c r="L147" i="1" s="1"/>
  <c r="K144" i="1"/>
  <c r="L144" i="1" s="1"/>
  <c r="K139" i="1"/>
  <c r="L139" i="1" s="1"/>
  <c r="K145" i="1"/>
  <c r="K126" i="1"/>
  <c r="L126" i="1" s="1"/>
  <c r="K134" i="1"/>
  <c r="L134" i="1" s="1"/>
  <c r="K133" i="1"/>
  <c r="L133" i="1" s="1"/>
  <c r="V109" i="1"/>
  <c r="V117" i="1"/>
  <c r="W115" i="1"/>
  <c r="V115" i="1"/>
  <c r="W93" i="1"/>
  <c r="V93" i="1"/>
  <c r="W106" i="1"/>
  <c r="X106" i="1" s="1"/>
  <c r="V106" i="1"/>
  <c r="W97" i="1"/>
  <c r="V110" i="1"/>
  <c r="W110" i="1"/>
  <c r="X110" i="1" s="1"/>
  <c r="W101" i="1"/>
  <c r="V101" i="1"/>
  <c r="V97" i="1"/>
  <c r="Q109" i="1"/>
  <c r="Q113" i="1"/>
  <c r="Q117" i="1"/>
  <c r="R106" i="1"/>
  <c r="Q93" i="1"/>
  <c r="R93" i="1"/>
  <c r="R101" i="1"/>
  <c r="Q101" i="1"/>
  <c r="Q110" i="1"/>
  <c r="R110" i="1"/>
  <c r="S110" i="1" s="1"/>
  <c r="R97" i="1"/>
  <c r="Q97" i="1"/>
  <c r="Q115" i="1"/>
  <c r="R115" i="1"/>
  <c r="Q106" i="1"/>
  <c r="L107" i="1"/>
  <c r="L118" i="1"/>
  <c r="N101" i="1"/>
  <c r="N93" i="1"/>
  <c r="M97" i="1"/>
  <c r="N97" i="1" s="1"/>
  <c r="L97" i="1"/>
  <c r="L110" i="1"/>
  <c r="M110" i="1"/>
  <c r="M115" i="1"/>
  <c r="N115" i="1" s="1"/>
  <c r="L115" i="1"/>
  <c r="L106" i="1"/>
  <c r="N106" i="1" s="1"/>
  <c r="H97" i="1"/>
  <c r="H101" i="1"/>
  <c r="I101" i="1" s="1"/>
  <c r="H110" i="1"/>
  <c r="H93" i="1"/>
  <c r="I93" i="1" s="1"/>
  <c r="H115" i="1"/>
  <c r="I115" i="1" s="1"/>
  <c r="I106" i="1"/>
  <c r="V79" i="1"/>
  <c r="V87" i="1"/>
  <c r="W85" i="1"/>
  <c r="V85" i="1"/>
  <c r="W76" i="1"/>
  <c r="V76" i="1"/>
  <c r="V64" i="1"/>
  <c r="W63" i="1"/>
  <c r="X63" i="1" s="1"/>
  <c r="W67" i="1"/>
  <c r="V80" i="1"/>
  <c r="W80" i="1"/>
  <c r="W71" i="1"/>
  <c r="V71" i="1"/>
  <c r="V67" i="1"/>
  <c r="Q79" i="1"/>
  <c r="Q87" i="1"/>
  <c r="Q88" i="1"/>
  <c r="Q83" i="1"/>
  <c r="R67" i="1"/>
  <c r="Q67" i="1"/>
  <c r="R80" i="1"/>
  <c r="Q81" i="1"/>
  <c r="Q63" i="1"/>
  <c r="R63" i="1"/>
  <c r="R71" i="1"/>
  <c r="Q71" i="1"/>
  <c r="R76" i="1"/>
  <c r="Q85" i="1"/>
  <c r="R85" i="1"/>
  <c r="S85" i="1" s="1"/>
  <c r="Q76" i="1"/>
  <c r="L83" i="1"/>
  <c r="L75" i="1"/>
  <c r="L81" i="1"/>
  <c r="M80" i="1"/>
  <c r="L63" i="1"/>
  <c r="M63" i="1"/>
  <c r="L71" i="1"/>
  <c r="M71" i="1"/>
  <c r="M76" i="1"/>
  <c r="M85" i="1"/>
  <c r="L85" i="1"/>
  <c r="M67" i="1"/>
  <c r="L67" i="1"/>
  <c r="L76" i="1"/>
  <c r="H85" i="1"/>
  <c r="I63" i="1"/>
  <c r="H67" i="1"/>
  <c r="I67" i="1" s="1"/>
  <c r="H80" i="1"/>
  <c r="I80" i="1" s="1"/>
  <c r="I71" i="1"/>
  <c r="V57" i="1"/>
  <c r="V45" i="1"/>
  <c r="W37" i="1"/>
  <c r="V37" i="1"/>
  <c r="W41" i="1"/>
  <c r="V41" i="1"/>
  <c r="V50" i="1"/>
  <c r="W50" i="1"/>
  <c r="W46" i="1"/>
  <c r="W33" i="1"/>
  <c r="V33" i="1"/>
  <c r="W55" i="1"/>
  <c r="V55" i="1"/>
  <c r="V46" i="1"/>
  <c r="Q53" i="1"/>
  <c r="Q57" i="1"/>
  <c r="Q45" i="1"/>
  <c r="Q51" i="1"/>
  <c r="R50" i="1"/>
  <c r="Q33" i="1"/>
  <c r="S33" i="1"/>
  <c r="Q41" i="1"/>
  <c r="R46" i="1"/>
  <c r="R55" i="1"/>
  <c r="Q55" i="1"/>
  <c r="R37" i="1"/>
  <c r="S37" i="1" s="1"/>
  <c r="Q37" i="1"/>
  <c r="Q46" i="1"/>
  <c r="L58" i="1"/>
  <c r="L53" i="1"/>
  <c r="L45" i="1"/>
  <c r="L49" i="1"/>
  <c r="L57" i="1"/>
  <c r="L37" i="1"/>
  <c r="L51" i="1"/>
  <c r="M50" i="1"/>
  <c r="L33" i="1"/>
  <c r="L41" i="1"/>
  <c r="M46" i="1"/>
  <c r="M55" i="1"/>
  <c r="L55" i="1"/>
  <c r="L46" i="1"/>
  <c r="V7" i="1"/>
  <c r="W7" i="1"/>
  <c r="H33" i="1"/>
  <c r="I33" i="1" s="1"/>
  <c r="H46" i="1"/>
  <c r="I46" i="1" s="1"/>
  <c r="H41" i="1"/>
  <c r="H55" i="1"/>
  <c r="I55" i="1" s="1"/>
  <c r="H50" i="1"/>
  <c r="H37" i="1"/>
  <c r="W25" i="1"/>
  <c r="W3" i="1"/>
  <c r="W16" i="1"/>
  <c r="W20" i="1"/>
  <c r="X20" i="1" s="1"/>
  <c r="W11" i="1"/>
  <c r="X11" i="1" s="1"/>
  <c r="X7" i="1"/>
  <c r="Q15" i="1"/>
  <c r="Q27" i="1"/>
  <c r="Q28" i="1"/>
  <c r="Q19" i="1"/>
  <c r="Q23" i="1"/>
  <c r="Q3" i="1"/>
  <c r="R7" i="1"/>
  <c r="Q7" i="1"/>
  <c r="Q11" i="1"/>
  <c r="R11" i="1"/>
  <c r="Q20" i="1"/>
  <c r="R20" i="1"/>
  <c r="Q25" i="1"/>
  <c r="R25" i="1"/>
  <c r="Q4" i="1"/>
  <c r="Q16" i="1"/>
  <c r="S16" i="1" s="1"/>
  <c r="M25" i="1"/>
  <c r="M16" i="1"/>
  <c r="M20" i="1"/>
  <c r="M11" i="1"/>
  <c r="L24" i="1"/>
  <c r="N20" i="1" s="1"/>
  <c r="M7" i="1"/>
  <c r="L19" i="1"/>
  <c r="L7" i="1"/>
  <c r="M3" i="1"/>
  <c r="L9" i="1"/>
  <c r="L11" i="1"/>
  <c r="L16" i="1"/>
  <c r="M286" i="1" l="1"/>
  <c r="L286" i="1"/>
  <c r="L277" i="1"/>
  <c r="M277" i="1"/>
  <c r="N277" i="1" s="1"/>
  <c r="M290" i="1"/>
  <c r="L290" i="1"/>
  <c r="M295" i="1"/>
  <c r="L295" i="1"/>
  <c r="L273" i="1"/>
  <c r="M273" i="1"/>
  <c r="L281" i="1"/>
  <c r="M281" i="1"/>
  <c r="N281" i="1" s="1"/>
  <c r="M243" i="1"/>
  <c r="L243" i="1"/>
  <c r="M251" i="1"/>
  <c r="L251" i="1"/>
  <c r="M260" i="1"/>
  <c r="L260" i="1"/>
  <c r="M256" i="1"/>
  <c r="L256" i="1"/>
  <c r="M265" i="1"/>
  <c r="L265" i="1"/>
  <c r="M247" i="1"/>
  <c r="L247" i="1"/>
  <c r="M230" i="1"/>
  <c r="N230" i="1" s="1"/>
  <c r="L230" i="1"/>
  <c r="L217" i="1"/>
  <c r="M217" i="1"/>
  <c r="N217" i="1" s="1"/>
  <c r="M235" i="1"/>
  <c r="N235" i="1" s="1"/>
  <c r="L235" i="1"/>
  <c r="M213" i="1"/>
  <c r="L213" i="1"/>
  <c r="M226" i="1"/>
  <c r="N226" i="1" s="1"/>
  <c r="L226" i="1"/>
  <c r="M221" i="1"/>
  <c r="L221" i="1"/>
  <c r="M191" i="1"/>
  <c r="L191" i="1"/>
  <c r="M183" i="1"/>
  <c r="L183" i="1"/>
  <c r="M196" i="1"/>
  <c r="N196" i="1" s="1"/>
  <c r="L196" i="1"/>
  <c r="M187" i="1"/>
  <c r="L187" i="1"/>
  <c r="M200" i="1"/>
  <c r="N200" i="1" s="1"/>
  <c r="L200" i="1"/>
  <c r="M205" i="1"/>
  <c r="L205" i="1"/>
  <c r="M175" i="1"/>
  <c r="L175" i="1"/>
  <c r="M153" i="1"/>
  <c r="L153" i="1"/>
  <c r="M161" i="1"/>
  <c r="L161" i="1"/>
  <c r="M170" i="1"/>
  <c r="L170" i="1"/>
  <c r="M157" i="1"/>
  <c r="L157" i="1"/>
  <c r="M166" i="1"/>
  <c r="L166" i="1"/>
  <c r="M127" i="1"/>
  <c r="L127" i="1"/>
  <c r="M136" i="1"/>
  <c r="L136" i="1"/>
  <c r="M131" i="1"/>
  <c r="L131" i="1"/>
  <c r="M140" i="1"/>
  <c r="L140" i="1"/>
  <c r="M145" i="1"/>
  <c r="L145" i="1"/>
  <c r="L123" i="1"/>
  <c r="M123" i="1"/>
  <c r="N123" i="1" s="1"/>
  <c r="X97" i="1"/>
  <c r="X93" i="1"/>
  <c r="X101" i="1"/>
  <c r="X115" i="1"/>
  <c r="S97" i="1"/>
  <c r="S101" i="1"/>
  <c r="S115" i="1"/>
  <c r="S93" i="1"/>
  <c r="S106" i="1"/>
  <c r="N110" i="1"/>
  <c r="I110" i="1"/>
  <c r="I97" i="1"/>
  <c r="X76" i="1"/>
  <c r="X71" i="1"/>
  <c r="X67" i="1"/>
  <c r="X80" i="1"/>
  <c r="X85" i="1"/>
  <c r="S76" i="1"/>
  <c r="S67" i="1"/>
  <c r="S71" i="1"/>
  <c r="S80" i="1"/>
  <c r="S63" i="1"/>
  <c r="N85" i="1"/>
  <c r="N67" i="1"/>
  <c r="N71" i="1"/>
  <c r="N80" i="1"/>
  <c r="N63" i="1"/>
  <c r="N76" i="1"/>
  <c r="I85" i="1"/>
  <c r="I76" i="1"/>
  <c r="X37" i="1"/>
  <c r="X33" i="1"/>
  <c r="X46" i="1"/>
  <c r="X55" i="1"/>
  <c r="X50" i="1"/>
  <c r="X41" i="1"/>
  <c r="S55" i="1"/>
  <c r="S41" i="1"/>
  <c r="S50" i="1"/>
  <c r="S46" i="1"/>
  <c r="N37" i="1"/>
  <c r="N50" i="1"/>
  <c r="N55" i="1"/>
  <c r="N33" i="1"/>
  <c r="N41" i="1"/>
  <c r="N46" i="1"/>
  <c r="I41" i="1"/>
  <c r="I37" i="1"/>
  <c r="I50" i="1"/>
  <c r="X16" i="1"/>
  <c r="X3" i="1"/>
  <c r="X25" i="1"/>
  <c r="S3" i="1"/>
  <c r="S20" i="1"/>
  <c r="S25" i="1"/>
  <c r="S7" i="1"/>
  <c r="N16" i="1"/>
  <c r="N7" i="1"/>
  <c r="N3" i="1"/>
  <c r="I3" i="1"/>
  <c r="N290" i="1" l="1"/>
  <c r="O291" i="1" s="1"/>
  <c r="N286" i="1"/>
  <c r="O279" i="1"/>
  <c r="O278" i="1"/>
  <c r="O280" i="1"/>
  <c r="N295" i="1"/>
  <c r="O283" i="1" s="1"/>
  <c r="O285" i="1"/>
  <c r="O281" i="1"/>
  <c r="O282" i="1"/>
  <c r="O284" i="1"/>
  <c r="N273" i="1"/>
  <c r="O289" i="1" s="1"/>
  <c r="O290" i="1"/>
  <c r="O293" i="1"/>
  <c r="O294" i="1"/>
  <c r="O292" i="1"/>
  <c r="O288" i="1"/>
  <c r="O287" i="1"/>
  <c r="O286" i="1"/>
  <c r="N247" i="1"/>
  <c r="N256" i="1"/>
  <c r="N251" i="1"/>
  <c r="O255" i="1" s="1"/>
  <c r="N265" i="1"/>
  <c r="O266" i="1" s="1"/>
  <c r="N260" i="1"/>
  <c r="N243" i="1"/>
  <c r="O249" i="1"/>
  <c r="O247" i="1"/>
  <c r="O248" i="1"/>
  <c r="O250" i="1"/>
  <c r="O257" i="1"/>
  <c r="O259" i="1"/>
  <c r="O256" i="1"/>
  <c r="O258" i="1"/>
  <c r="O252" i="1"/>
  <c r="O251" i="1"/>
  <c r="O265" i="1"/>
  <c r="O261" i="1"/>
  <c r="O264" i="1"/>
  <c r="O260" i="1"/>
  <c r="O263" i="1"/>
  <c r="O262" i="1"/>
  <c r="O245" i="1"/>
  <c r="O244" i="1"/>
  <c r="O246" i="1"/>
  <c r="O243" i="1"/>
  <c r="O218" i="1"/>
  <c r="O220" i="1"/>
  <c r="N221" i="1"/>
  <c r="O219" i="1" s="1"/>
  <c r="N213" i="1"/>
  <c r="O217" i="1" s="1"/>
  <c r="O226" i="1"/>
  <c r="O227" i="1"/>
  <c r="O228" i="1"/>
  <c r="O235" i="1"/>
  <c r="O237" i="1"/>
  <c r="O238" i="1"/>
  <c r="O236" i="1"/>
  <c r="O234" i="1"/>
  <c r="O231" i="1"/>
  <c r="O230" i="1"/>
  <c r="O232" i="1"/>
  <c r="N205" i="1"/>
  <c r="O206" i="1" s="1"/>
  <c r="N187" i="1"/>
  <c r="N153" i="1"/>
  <c r="N166" i="1"/>
  <c r="N170" i="1"/>
  <c r="O168" i="1" s="1"/>
  <c r="N157" i="1"/>
  <c r="O158" i="1" s="1"/>
  <c r="N161" i="1"/>
  <c r="N175" i="1"/>
  <c r="O205" i="1"/>
  <c r="O190" i="1"/>
  <c r="O188" i="1"/>
  <c r="N183" i="1"/>
  <c r="O199" i="1" s="1"/>
  <c r="O201" i="1"/>
  <c r="O200" i="1"/>
  <c r="O203" i="1"/>
  <c r="O204" i="1"/>
  <c r="O202" i="1"/>
  <c r="O196" i="1"/>
  <c r="O198" i="1"/>
  <c r="O197" i="1"/>
  <c r="N191" i="1"/>
  <c r="O169" i="1"/>
  <c r="O166" i="1"/>
  <c r="O167" i="1"/>
  <c r="O170" i="1"/>
  <c r="O172" i="1"/>
  <c r="O154" i="1"/>
  <c r="O153" i="1"/>
  <c r="O156" i="1"/>
  <c r="O157" i="1"/>
  <c r="O165" i="1"/>
  <c r="O161" i="1"/>
  <c r="O163" i="1"/>
  <c r="O164" i="1"/>
  <c r="O162" i="1"/>
  <c r="O177" i="1"/>
  <c r="O178" i="1"/>
  <c r="O176" i="1"/>
  <c r="N140" i="1"/>
  <c r="N136" i="1"/>
  <c r="O126" i="1"/>
  <c r="O123" i="1"/>
  <c r="N145" i="1"/>
  <c r="N131" i="1"/>
  <c r="N127" i="1"/>
  <c r="O125" i="1" s="1"/>
  <c r="O277" i="1" l="1"/>
  <c r="P283" i="1"/>
  <c r="Q283" i="1" s="1"/>
  <c r="P289" i="1"/>
  <c r="Q289" i="1" s="1"/>
  <c r="P292" i="1"/>
  <c r="Q292" i="1" s="1"/>
  <c r="P282" i="1"/>
  <c r="Q282" i="1" s="1"/>
  <c r="P287" i="1"/>
  <c r="Q287" i="1" s="1"/>
  <c r="P294" i="1"/>
  <c r="Q294" i="1" s="1"/>
  <c r="P281" i="1"/>
  <c r="P291" i="1"/>
  <c r="Q291" i="1" s="1"/>
  <c r="P285" i="1"/>
  <c r="Q285" i="1" s="1"/>
  <c r="P278" i="1"/>
  <c r="Q278" i="1" s="1"/>
  <c r="P286" i="1"/>
  <c r="P290" i="1"/>
  <c r="P277" i="1"/>
  <c r="O276" i="1"/>
  <c r="O273" i="1"/>
  <c r="O274" i="1"/>
  <c r="O275" i="1"/>
  <c r="P280" i="1"/>
  <c r="Q280" i="1" s="1"/>
  <c r="P288" i="1"/>
  <c r="Q288" i="1" s="1"/>
  <c r="P293" i="1"/>
  <c r="Q293" i="1" s="1"/>
  <c r="P284" i="1"/>
  <c r="Q284" i="1" s="1"/>
  <c r="O296" i="1"/>
  <c r="O295" i="1"/>
  <c r="O298" i="1"/>
  <c r="O297" i="1"/>
  <c r="P279" i="1"/>
  <c r="Q279" i="1" s="1"/>
  <c r="O268" i="1"/>
  <c r="O253" i="1"/>
  <c r="O267" i="1"/>
  <c r="O254" i="1"/>
  <c r="P244" i="1"/>
  <c r="Q244" i="1" s="1"/>
  <c r="P260" i="1"/>
  <c r="P267" i="1"/>
  <c r="Q267" i="1" s="1"/>
  <c r="P254" i="1"/>
  <c r="Q254" i="1" s="1"/>
  <c r="P258" i="1"/>
  <c r="Q258" i="1" s="1"/>
  <c r="P250" i="1"/>
  <c r="Q250" i="1" s="1"/>
  <c r="P245" i="1"/>
  <c r="Q245" i="1" s="1"/>
  <c r="P264" i="1"/>
  <c r="Q264" i="1" s="1"/>
  <c r="P266" i="1"/>
  <c r="Q266" i="1" s="1"/>
  <c r="P255" i="1"/>
  <c r="Q255" i="1" s="1"/>
  <c r="P256" i="1"/>
  <c r="P248" i="1"/>
  <c r="Q248" i="1" s="1"/>
  <c r="P243" i="1"/>
  <c r="P262" i="1"/>
  <c r="Q262" i="1" s="1"/>
  <c r="P261" i="1"/>
  <c r="Q261" i="1" s="1"/>
  <c r="P265" i="1"/>
  <c r="P252" i="1"/>
  <c r="Q252" i="1" s="1"/>
  <c r="P259" i="1"/>
  <c r="Q259" i="1" s="1"/>
  <c r="P247" i="1"/>
  <c r="P246" i="1"/>
  <c r="Q246" i="1" s="1"/>
  <c r="P263" i="1"/>
  <c r="Q263" i="1" s="1"/>
  <c r="P268" i="1"/>
  <c r="Q268" i="1" s="1"/>
  <c r="P251" i="1"/>
  <c r="P253" i="1"/>
  <c r="Q253" i="1" s="1"/>
  <c r="P257" i="1"/>
  <c r="Q257" i="1" s="1"/>
  <c r="P249" i="1"/>
  <c r="Q249" i="1" s="1"/>
  <c r="O229" i="1"/>
  <c r="P217" i="1"/>
  <c r="P219" i="1"/>
  <c r="Q219" i="1" s="1"/>
  <c r="P238" i="1"/>
  <c r="Q238" i="1" s="1"/>
  <c r="P231" i="1"/>
  <c r="Q231" i="1" s="1"/>
  <c r="P237" i="1"/>
  <c r="Q237" i="1" s="1"/>
  <c r="P227" i="1"/>
  <c r="Q227" i="1" s="1"/>
  <c r="P220" i="1"/>
  <c r="Q220" i="1" s="1"/>
  <c r="P230" i="1"/>
  <c r="O233" i="1"/>
  <c r="P234" i="1"/>
  <c r="Q234" i="1" s="1"/>
  <c r="P235" i="1"/>
  <c r="P226" i="1"/>
  <c r="P232" i="1"/>
  <c r="Q232" i="1" s="1"/>
  <c r="P236" i="1"/>
  <c r="Q236" i="1" s="1"/>
  <c r="P229" i="1"/>
  <c r="Q229" i="1" s="1"/>
  <c r="O214" i="1"/>
  <c r="O215" i="1"/>
  <c r="O213" i="1"/>
  <c r="O216" i="1"/>
  <c r="P228" i="1"/>
  <c r="Q228" i="1" s="1"/>
  <c r="O221" i="1"/>
  <c r="O223" i="1"/>
  <c r="O222" i="1"/>
  <c r="O224" i="1"/>
  <c r="O225" i="1"/>
  <c r="P218" i="1"/>
  <c r="Q218" i="1" s="1"/>
  <c r="O207" i="1"/>
  <c r="O159" i="1"/>
  <c r="P159" i="1" s="1"/>
  <c r="Q159" i="1" s="1"/>
  <c r="O175" i="1"/>
  <c r="P175" i="1" s="1"/>
  <c r="O160" i="1"/>
  <c r="O155" i="1"/>
  <c r="O173" i="1"/>
  <c r="O171" i="1"/>
  <c r="O174" i="1"/>
  <c r="P174" i="1" s="1"/>
  <c r="Q174" i="1" s="1"/>
  <c r="P199" i="1"/>
  <c r="Q199" i="1" s="1"/>
  <c r="P196" i="1"/>
  <c r="P203" i="1"/>
  <c r="Q203" i="1" s="1"/>
  <c r="P188" i="1"/>
  <c r="Q188" i="1" s="1"/>
  <c r="P207" i="1"/>
  <c r="Q207" i="1" s="1"/>
  <c r="O193" i="1"/>
  <c r="O195" i="1"/>
  <c r="O192" i="1"/>
  <c r="O191" i="1"/>
  <c r="O194" i="1"/>
  <c r="P200" i="1"/>
  <c r="O189" i="1"/>
  <c r="P206" i="1"/>
  <c r="Q206" i="1" s="1"/>
  <c r="P197" i="1"/>
  <c r="Q197" i="1" s="1"/>
  <c r="P202" i="1"/>
  <c r="Q202" i="1" s="1"/>
  <c r="P201" i="1"/>
  <c r="Q201" i="1" s="1"/>
  <c r="P190" i="1"/>
  <c r="Q190" i="1" s="1"/>
  <c r="O208" i="1"/>
  <c r="P198" i="1"/>
  <c r="Q198" i="1" s="1"/>
  <c r="P204" i="1"/>
  <c r="Q204" i="1" s="1"/>
  <c r="O185" i="1"/>
  <c r="O186" i="1"/>
  <c r="O183" i="1"/>
  <c r="O184" i="1"/>
  <c r="O187" i="1"/>
  <c r="P205" i="1"/>
  <c r="P163" i="1"/>
  <c r="Q163" i="1" s="1"/>
  <c r="P168" i="1"/>
  <c r="Q168" i="1" s="1"/>
  <c r="P177" i="1"/>
  <c r="Q177" i="1" s="1"/>
  <c r="P161" i="1"/>
  <c r="P157" i="1"/>
  <c r="P153" i="1"/>
  <c r="P172" i="1"/>
  <c r="Q172" i="1" s="1"/>
  <c r="P167" i="1"/>
  <c r="Q167" i="1" s="1"/>
  <c r="P178" i="1"/>
  <c r="Q178" i="1" s="1"/>
  <c r="P158" i="1"/>
  <c r="Q158" i="1" s="1"/>
  <c r="P176" i="1"/>
  <c r="Q176" i="1" s="1"/>
  <c r="P162" i="1"/>
  <c r="Q162" i="1" s="1"/>
  <c r="P165" i="1"/>
  <c r="Q165" i="1" s="1"/>
  <c r="P154" i="1"/>
  <c r="Q154" i="1" s="1"/>
  <c r="P170" i="1"/>
  <c r="P166" i="1"/>
  <c r="P156" i="1"/>
  <c r="Q156" i="1" s="1"/>
  <c r="P164" i="1"/>
  <c r="Q164" i="1" s="1"/>
  <c r="P160" i="1"/>
  <c r="Q160" i="1" s="1"/>
  <c r="P155" i="1"/>
  <c r="Q155" i="1" s="1"/>
  <c r="P173" i="1"/>
  <c r="Q173" i="1" s="1"/>
  <c r="P171" i="1"/>
  <c r="Q171" i="1" s="1"/>
  <c r="P169" i="1"/>
  <c r="Q169" i="1" s="1"/>
  <c r="P123" i="1"/>
  <c r="O148" i="1"/>
  <c r="O146" i="1"/>
  <c r="O147" i="1"/>
  <c r="O145" i="1"/>
  <c r="P126" i="1"/>
  <c r="Q126" i="1" s="1"/>
  <c r="O133" i="1"/>
  <c r="O132" i="1"/>
  <c r="O135" i="1"/>
  <c r="O131" i="1"/>
  <c r="O134" i="1"/>
  <c r="P125" i="1"/>
  <c r="Q125" i="1" s="1"/>
  <c r="O137" i="1"/>
  <c r="O139" i="1"/>
  <c r="O138" i="1"/>
  <c r="O136" i="1"/>
  <c r="O130" i="1"/>
  <c r="O128" i="1"/>
  <c r="O127" i="1"/>
  <c r="O129" i="1"/>
  <c r="O124" i="1"/>
  <c r="O140" i="1"/>
  <c r="O142" i="1"/>
  <c r="O141" i="1"/>
  <c r="O144" i="1"/>
  <c r="O143" i="1"/>
  <c r="P295" i="1" l="1"/>
  <c r="P273" i="1"/>
  <c r="P296" i="1"/>
  <c r="Q296" i="1" s="1"/>
  <c r="P276" i="1"/>
  <c r="Q276" i="1" s="1"/>
  <c r="Q290" i="1"/>
  <c r="R290" i="1"/>
  <c r="P297" i="1"/>
  <c r="Q297" i="1" s="1"/>
  <c r="P275" i="1"/>
  <c r="Q275" i="1" s="1"/>
  <c r="R277" i="1"/>
  <c r="Q277" i="1"/>
  <c r="R281" i="1"/>
  <c r="Q281" i="1"/>
  <c r="P298" i="1"/>
  <c r="Q298" i="1" s="1"/>
  <c r="P274" i="1"/>
  <c r="Q274" i="1" s="1"/>
  <c r="Q286" i="1"/>
  <c r="R286" i="1"/>
  <c r="S286" i="1" s="1"/>
  <c r="R265" i="1"/>
  <c r="Q265" i="1"/>
  <c r="Q260" i="1"/>
  <c r="R260" i="1"/>
  <c r="R251" i="1"/>
  <c r="Q251" i="1"/>
  <c r="R247" i="1"/>
  <c r="Q247" i="1"/>
  <c r="R243" i="1"/>
  <c r="Q243" i="1"/>
  <c r="Q256" i="1"/>
  <c r="R256" i="1"/>
  <c r="P225" i="1"/>
  <c r="Q225" i="1" s="1"/>
  <c r="P221" i="1"/>
  <c r="P213" i="1"/>
  <c r="Q230" i="1"/>
  <c r="P224" i="1"/>
  <c r="Q224" i="1" s="1"/>
  <c r="P215" i="1"/>
  <c r="Q215" i="1" s="1"/>
  <c r="Q226" i="1"/>
  <c r="R226" i="1"/>
  <c r="S226" i="1" s="1"/>
  <c r="P222" i="1"/>
  <c r="Q222" i="1" s="1"/>
  <c r="P214" i="1"/>
  <c r="Q214" i="1" s="1"/>
  <c r="R217" i="1"/>
  <c r="Q217" i="1"/>
  <c r="P223" i="1"/>
  <c r="Q223" i="1" s="1"/>
  <c r="P216" i="1"/>
  <c r="Q216" i="1" s="1"/>
  <c r="R235" i="1"/>
  <c r="Q235" i="1"/>
  <c r="P233" i="1"/>
  <c r="Q233" i="1" s="1"/>
  <c r="Q205" i="1"/>
  <c r="P183" i="1"/>
  <c r="P195" i="1"/>
  <c r="Q195" i="1" s="1"/>
  <c r="Q196" i="1"/>
  <c r="R196" i="1"/>
  <c r="P186" i="1"/>
  <c r="Q186" i="1" s="1"/>
  <c r="P194" i="1"/>
  <c r="Q194" i="1" s="1"/>
  <c r="P193" i="1"/>
  <c r="Q193" i="1" s="1"/>
  <c r="P187" i="1"/>
  <c r="P185" i="1"/>
  <c r="Q185" i="1" s="1"/>
  <c r="P189" i="1"/>
  <c r="Q189" i="1" s="1"/>
  <c r="P191" i="1"/>
  <c r="P184" i="1"/>
  <c r="Q184" i="1" s="1"/>
  <c r="P208" i="1"/>
  <c r="Q208" i="1" s="1"/>
  <c r="Q200" i="1"/>
  <c r="R200" i="1"/>
  <c r="S200" i="1" s="1"/>
  <c r="P192" i="1"/>
  <c r="Q192" i="1" s="1"/>
  <c r="R175" i="1"/>
  <c r="Q175" i="1"/>
  <c r="R153" i="1"/>
  <c r="Q153" i="1"/>
  <c r="Q170" i="1"/>
  <c r="R170" i="1"/>
  <c r="R157" i="1"/>
  <c r="Q157" i="1"/>
  <c r="Q166" i="1"/>
  <c r="R166" i="1"/>
  <c r="R161" i="1"/>
  <c r="Q161" i="1"/>
  <c r="P124" i="1"/>
  <c r="Q124" i="1" s="1"/>
  <c r="P130" i="1"/>
  <c r="Q130" i="1" s="1"/>
  <c r="P131" i="1"/>
  <c r="P146" i="1"/>
  <c r="Q146" i="1" s="1"/>
  <c r="P141" i="1"/>
  <c r="Q141" i="1" s="1"/>
  <c r="P129" i="1"/>
  <c r="Q129" i="1" s="1"/>
  <c r="P136" i="1"/>
  <c r="P135" i="1"/>
  <c r="Q135" i="1" s="1"/>
  <c r="P148" i="1"/>
  <c r="Q148" i="1" s="1"/>
  <c r="P142" i="1"/>
  <c r="Q142" i="1" s="1"/>
  <c r="P138" i="1"/>
  <c r="Q138" i="1" s="1"/>
  <c r="P132" i="1"/>
  <c r="Q132" i="1" s="1"/>
  <c r="P145" i="1"/>
  <c r="P144" i="1"/>
  <c r="Q144" i="1" s="1"/>
  <c r="P137" i="1"/>
  <c r="Q137" i="1" s="1"/>
  <c r="P127" i="1"/>
  <c r="P143" i="1"/>
  <c r="Q143" i="1" s="1"/>
  <c r="P140" i="1"/>
  <c r="P128" i="1"/>
  <c r="Q128" i="1" s="1"/>
  <c r="P139" i="1"/>
  <c r="Q139" i="1" s="1"/>
  <c r="P134" i="1"/>
  <c r="Q134" i="1" s="1"/>
  <c r="P133" i="1"/>
  <c r="Q133" i="1" s="1"/>
  <c r="P147" i="1"/>
  <c r="Q147" i="1" s="1"/>
  <c r="R123" i="1"/>
  <c r="Q123" i="1"/>
  <c r="S281" i="1" l="1"/>
  <c r="R273" i="1"/>
  <c r="Q273" i="1"/>
  <c r="S277" i="1"/>
  <c r="T281" i="1" s="1"/>
  <c r="U281" i="1" s="1"/>
  <c r="T287" i="1"/>
  <c r="U287" i="1" s="1"/>
  <c r="V287" i="1" s="1"/>
  <c r="T286" i="1"/>
  <c r="U286" i="1" s="1"/>
  <c r="S290" i="1"/>
  <c r="T288" i="1" s="1"/>
  <c r="U288" i="1" s="1"/>
  <c r="V288" i="1" s="1"/>
  <c r="Q295" i="1"/>
  <c r="R295" i="1"/>
  <c r="T285" i="1"/>
  <c r="U285" i="1" s="1"/>
  <c r="V285" i="1" s="1"/>
  <c r="T284" i="1"/>
  <c r="U284" i="1" s="1"/>
  <c r="V284" i="1" s="1"/>
  <c r="S247" i="1"/>
  <c r="S243" i="1"/>
  <c r="T247" i="1" s="1"/>
  <c r="U247" i="1" s="1"/>
  <c r="S256" i="1"/>
  <c r="S260" i="1"/>
  <c r="T250" i="1"/>
  <c r="U250" i="1" s="1"/>
  <c r="V250" i="1" s="1"/>
  <c r="T243" i="1"/>
  <c r="U243" i="1" s="1"/>
  <c r="T245" i="1"/>
  <c r="U245" i="1" s="1"/>
  <c r="V245" i="1" s="1"/>
  <c r="S251" i="1"/>
  <c r="S265" i="1"/>
  <c r="R230" i="1"/>
  <c r="S230" i="1" s="1"/>
  <c r="T228" i="1" s="1"/>
  <c r="U228" i="1" s="1"/>
  <c r="V228" i="1" s="1"/>
  <c r="R221" i="1"/>
  <c r="Q221" i="1"/>
  <c r="S217" i="1"/>
  <c r="T226" i="1"/>
  <c r="U226" i="1" s="1"/>
  <c r="T227" i="1"/>
  <c r="U227" i="1" s="1"/>
  <c r="V227" i="1" s="1"/>
  <c r="R213" i="1"/>
  <c r="S213" i="1" s="1"/>
  <c r="Q213" i="1"/>
  <c r="S235" i="1"/>
  <c r="S196" i="1"/>
  <c r="S175" i="1"/>
  <c r="T201" i="1"/>
  <c r="U201" i="1" s="1"/>
  <c r="V201" i="1" s="1"/>
  <c r="T200" i="1"/>
  <c r="U200" i="1" s="1"/>
  <c r="R187" i="1"/>
  <c r="Q187" i="1"/>
  <c r="T197" i="1"/>
  <c r="U197" i="1" s="1"/>
  <c r="V197" i="1" s="1"/>
  <c r="T198" i="1"/>
  <c r="U198" i="1" s="1"/>
  <c r="V198" i="1" s="1"/>
  <c r="T196" i="1"/>
  <c r="U196" i="1" s="1"/>
  <c r="R183" i="1"/>
  <c r="Q183" i="1"/>
  <c r="R191" i="1"/>
  <c r="S191" i="1" s="1"/>
  <c r="Q191" i="1"/>
  <c r="R205" i="1"/>
  <c r="S205" i="1" s="1"/>
  <c r="S161" i="1"/>
  <c r="T178" i="1" s="1"/>
  <c r="U178" i="1" s="1"/>
  <c r="V178" i="1" s="1"/>
  <c r="S153" i="1"/>
  <c r="S166" i="1"/>
  <c r="S170" i="1"/>
  <c r="S157" i="1"/>
  <c r="T177" i="1"/>
  <c r="U177" i="1" s="1"/>
  <c r="V177" i="1" s="1"/>
  <c r="T176" i="1"/>
  <c r="U176" i="1" s="1"/>
  <c r="V176" i="1" s="1"/>
  <c r="T175" i="1"/>
  <c r="U175" i="1" s="1"/>
  <c r="S123" i="1"/>
  <c r="R127" i="1"/>
  <c r="Q127" i="1"/>
  <c r="Q136" i="1"/>
  <c r="R136" i="1"/>
  <c r="R131" i="1"/>
  <c r="Q131" i="1"/>
  <c r="Q140" i="1"/>
  <c r="R140" i="1"/>
  <c r="R145" i="1"/>
  <c r="Q145" i="1"/>
  <c r="S273" i="1" l="1"/>
  <c r="T289" i="1" s="1"/>
  <c r="U289" i="1" s="1"/>
  <c r="V289" i="1" s="1"/>
  <c r="T282" i="1"/>
  <c r="U282" i="1" s="1"/>
  <c r="V282" i="1" s="1"/>
  <c r="V281" i="1"/>
  <c r="T277" i="1"/>
  <c r="U277" i="1" s="1"/>
  <c r="T278" i="1"/>
  <c r="U278" i="1" s="1"/>
  <c r="V278" i="1" s="1"/>
  <c r="T280" i="1"/>
  <c r="U280" i="1" s="1"/>
  <c r="V280" i="1" s="1"/>
  <c r="T279" i="1"/>
  <c r="U279" i="1" s="1"/>
  <c r="V279" i="1" s="1"/>
  <c r="S295" i="1"/>
  <c r="T292" i="1" s="1"/>
  <c r="U292" i="1" s="1"/>
  <c r="V292" i="1" s="1"/>
  <c r="W286" i="1"/>
  <c r="V286" i="1"/>
  <c r="T293" i="1"/>
  <c r="U293" i="1" s="1"/>
  <c r="V293" i="1" s="1"/>
  <c r="T294" i="1"/>
  <c r="U294" i="1" s="1"/>
  <c r="V294" i="1" s="1"/>
  <c r="T291" i="1"/>
  <c r="U291" i="1" s="1"/>
  <c r="V291" i="1" s="1"/>
  <c r="T290" i="1"/>
  <c r="U290" i="1" s="1"/>
  <c r="T275" i="1"/>
  <c r="U275" i="1" s="1"/>
  <c r="V275" i="1" s="1"/>
  <c r="T274" i="1"/>
  <c r="U274" i="1" s="1"/>
  <c r="V274" i="1" s="1"/>
  <c r="T276" i="1"/>
  <c r="U276" i="1" s="1"/>
  <c r="V276" i="1" s="1"/>
  <c r="T273" i="1"/>
  <c r="U273" i="1" s="1"/>
  <c r="T246" i="1"/>
  <c r="U246" i="1" s="1"/>
  <c r="V246" i="1" s="1"/>
  <c r="V243" i="1"/>
  <c r="V247" i="1"/>
  <c r="W247" i="1"/>
  <c r="X247" i="1" s="1"/>
  <c r="T258" i="1"/>
  <c r="U258" i="1" s="1"/>
  <c r="V258" i="1" s="1"/>
  <c r="T256" i="1"/>
  <c r="U256" i="1" s="1"/>
  <c r="T257" i="1"/>
  <c r="U257" i="1" s="1"/>
  <c r="V257" i="1" s="1"/>
  <c r="T259" i="1"/>
  <c r="U259" i="1" s="1"/>
  <c r="V259" i="1" s="1"/>
  <c r="T266" i="1"/>
  <c r="U266" i="1" s="1"/>
  <c r="V266" i="1" s="1"/>
  <c r="T267" i="1"/>
  <c r="U267" i="1" s="1"/>
  <c r="V267" i="1" s="1"/>
  <c r="T265" i="1"/>
  <c r="U265" i="1" s="1"/>
  <c r="T268" i="1"/>
  <c r="U268" i="1" s="1"/>
  <c r="V268" i="1" s="1"/>
  <c r="T244" i="1"/>
  <c r="U244" i="1" s="1"/>
  <c r="V244" i="1" s="1"/>
  <c r="T251" i="1"/>
  <c r="U251" i="1" s="1"/>
  <c r="T252" i="1"/>
  <c r="U252" i="1" s="1"/>
  <c r="V252" i="1" s="1"/>
  <c r="T254" i="1"/>
  <c r="U254" i="1" s="1"/>
  <c r="V254" i="1" s="1"/>
  <c r="T255" i="1"/>
  <c r="U255" i="1" s="1"/>
  <c r="V255" i="1" s="1"/>
  <c r="T253" i="1"/>
  <c r="U253" i="1" s="1"/>
  <c r="V253" i="1" s="1"/>
  <c r="T249" i="1"/>
  <c r="U249" i="1" s="1"/>
  <c r="V249" i="1" s="1"/>
  <c r="T261" i="1"/>
  <c r="U261" i="1" s="1"/>
  <c r="V261" i="1" s="1"/>
  <c r="T263" i="1"/>
  <c r="U263" i="1" s="1"/>
  <c r="V263" i="1" s="1"/>
  <c r="T260" i="1"/>
  <c r="U260" i="1" s="1"/>
  <c r="T262" i="1"/>
  <c r="U262" i="1" s="1"/>
  <c r="V262" i="1" s="1"/>
  <c r="T264" i="1"/>
  <c r="U264" i="1" s="1"/>
  <c r="V264" i="1" s="1"/>
  <c r="T248" i="1"/>
  <c r="U248" i="1" s="1"/>
  <c r="V248" i="1" s="1"/>
  <c r="S221" i="1"/>
  <c r="T213" i="1"/>
  <c r="U213" i="1" s="1"/>
  <c r="T214" i="1"/>
  <c r="U214" i="1" s="1"/>
  <c r="V214" i="1" s="1"/>
  <c r="T215" i="1"/>
  <c r="U215" i="1" s="1"/>
  <c r="V215" i="1" s="1"/>
  <c r="T216" i="1"/>
  <c r="U216" i="1" s="1"/>
  <c r="V216" i="1" s="1"/>
  <c r="T229" i="1"/>
  <c r="U229" i="1" s="1"/>
  <c r="V229" i="1" s="1"/>
  <c r="T217" i="1"/>
  <c r="U217" i="1" s="1"/>
  <c r="T220" i="1"/>
  <c r="U220" i="1" s="1"/>
  <c r="V220" i="1" s="1"/>
  <c r="T218" i="1"/>
  <c r="U218" i="1" s="1"/>
  <c r="V218" i="1" s="1"/>
  <c r="T219" i="1"/>
  <c r="U219" i="1" s="1"/>
  <c r="V219" i="1" s="1"/>
  <c r="T238" i="1"/>
  <c r="U238" i="1" s="1"/>
  <c r="V238" i="1" s="1"/>
  <c r="T237" i="1"/>
  <c r="U237" i="1" s="1"/>
  <c r="V237" i="1" s="1"/>
  <c r="T236" i="1"/>
  <c r="U236" i="1" s="1"/>
  <c r="V236" i="1" s="1"/>
  <c r="T235" i="1"/>
  <c r="U235" i="1" s="1"/>
  <c r="T225" i="1"/>
  <c r="U225" i="1" s="1"/>
  <c r="V225" i="1" s="1"/>
  <c r="T224" i="1"/>
  <c r="U224" i="1" s="1"/>
  <c r="V224" i="1" s="1"/>
  <c r="T223" i="1"/>
  <c r="U223" i="1" s="1"/>
  <c r="V223" i="1" s="1"/>
  <c r="T221" i="1"/>
  <c r="U221" i="1" s="1"/>
  <c r="T222" i="1"/>
  <c r="U222" i="1" s="1"/>
  <c r="V222" i="1" s="1"/>
  <c r="W226" i="1"/>
  <c r="X226" i="1" s="1"/>
  <c r="V226" i="1"/>
  <c r="T230" i="1"/>
  <c r="U230" i="1" s="1"/>
  <c r="T234" i="1"/>
  <c r="U234" i="1" s="1"/>
  <c r="V234" i="1" s="1"/>
  <c r="T231" i="1"/>
  <c r="U231" i="1" s="1"/>
  <c r="V231" i="1" s="1"/>
  <c r="T232" i="1"/>
  <c r="U232" i="1" s="1"/>
  <c r="V232" i="1" s="1"/>
  <c r="T233" i="1"/>
  <c r="U233" i="1" s="1"/>
  <c r="V233" i="1" s="1"/>
  <c r="T207" i="1"/>
  <c r="U207" i="1" s="1"/>
  <c r="V207" i="1" s="1"/>
  <c r="T206" i="1"/>
  <c r="U206" i="1" s="1"/>
  <c r="V206" i="1" s="1"/>
  <c r="T205" i="1"/>
  <c r="U205" i="1" s="1"/>
  <c r="T208" i="1"/>
  <c r="U208" i="1" s="1"/>
  <c r="V208" i="1" s="1"/>
  <c r="S183" i="1"/>
  <c r="T202" i="1"/>
  <c r="U202" i="1" s="1"/>
  <c r="V202" i="1" s="1"/>
  <c r="V196" i="1"/>
  <c r="T195" i="1"/>
  <c r="U195" i="1" s="1"/>
  <c r="V195" i="1" s="1"/>
  <c r="T193" i="1"/>
  <c r="U193" i="1" s="1"/>
  <c r="V193" i="1" s="1"/>
  <c r="T192" i="1"/>
  <c r="U192" i="1" s="1"/>
  <c r="V192" i="1" s="1"/>
  <c r="T194" i="1"/>
  <c r="U194" i="1" s="1"/>
  <c r="V194" i="1" s="1"/>
  <c r="S187" i="1"/>
  <c r="T203" i="1"/>
  <c r="U203" i="1" s="1"/>
  <c r="V203" i="1" s="1"/>
  <c r="V200" i="1"/>
  <c r="T172" i="1"/>
  <c r="U172" i="1" s="1"/>
  <c r="V172" i="1" s="1"/>
  <c r="T170" i="1"/>
  <c r="U170" i="1" s="1"/>
  <c r="T174" i="1"/>
  <c r="U174" i="1" s="1"/>
  <c r="V174" i="1" s="1"/>
  <c r="T171" i="1"/>
  <c r="U171" i="1" s="1"/>
  <c r="V171" i="1" s="1"/>
  <c r="T173" i="1"/>
  <c r="U173" i="1" s="1"/>
  <c r="V173" i="1" s="1"/>
  <c r="T168" i="1"/>
  <c r="U168" i="1" s="1"/>
  <c r="V168" i="1" s="1"/>
  <c r="T166" i="1"/>
  <c r="U166" i="1" s="1"/>
  <c r="T169" i="1"/>
  <c r="U169" i="1" s="1"/>
  <c r="V169" i="1" s="1"/>
  <c r="T167" i="1"/>
  <c r="U167" i="1" s="1"/>
  <c r="V167" i="1" s="1"/>
  <c r="T156" i="1"/>
  <c r="U156" i="1" s="1"/>
  <c r="V156" i="1" s="1"/>
  <c r="T154" i="1"/>
  <c r="U154" i="1" s="1"/>
  <c r="V154" i="1" s="1"/>
  <c r="T155" i="1"/>
  <c r="U155" i="1" s="1"/>
  <c r="V155" i="1" s="1"/>
  <c r="U153" i="1"/>
  <c r="W175" i="1"/>
  <c r="X175" i="1" s="1"/>
  <c r="V175" i="1"/>
  <c r="T157" i="1"/>
  <c r="U157" i="1" s="1"/>
  <c r="T158" i="1"/>
  <c r="U158" i="1" s="1"/>
  <c r="V158" i="1" s="1"/>
  <c r="T159" i="1"/>
  <c r="U159" i="1" s="1"/>
  <c r="V159" i="1" s="1"/>
  <c r="T160" i="1"/>
  <c r="U160" i="1" s="1"/>
  <c r="V160" i="1" s="1"/>
  <c r="T164" i="1"/>
  <c r="U164" i="1" s="1"/>
  <c r="V164" i="1" s="1"/>
  <c r="T163" i="1"/>
  <c r="U163" i="1" s="1"/>
  <c r="V163" i="1" s="1"/>
  <c r="T162" i="1"/>
  <c r="U162" i="1" s="1"/>
  <c r="V162" i="1" s="1"/>
  <c r="T161" i="1"/>
  <c r="U161" i="1" s="1"/>
  <c r="T165" i="1"/>
  <c r="U165" i="1" s="1"/>
  <c r="V165" i="1" s="1"/>
  <c r="S145" i="1"/>
  <c r="S131" i="1"/>
  <c r="S127" i="1"/>
  <c r="T129" i="1" s="1"/>
  <c r="U129" i="1" s="1"/>
  <c r="V129" i="1" s="1"/>
  <c r="T131" i="1"/>
  <c r="U131" i="1" s="1"/>
  <c r="T134" i="1"/>
  <c r="U134" i="1" s="1"/>
  <c r="V134" i="1" s="1"/>
  <c r="T135" i="1"/>
  <c r="U135" i="1" s="1"/>
  <c r="V135" i="1" s="1"/>
  <c r="T133" i="1"/>
  <c r="U133" i="1" s="1"/>
  <c r="V133" i="1" s="1"/>
  <c r="T130" i="1"/>
  <c r="U130" i="1" s="1"/>
  <c r="V130" i="1" s="1"/>
  <c r="T148" i="1"/>
  <c r="U148" i="1" s="1"/>
  <c r="V148" i="1" s="1"/>
  <c r="T147" i="1"/>
  <c r="U147" i="1" s="1"/>
  <c r="V147" i="1" s="1"/>
  <c r="T146" i="1"/>
  <c r="U146" i="1" s="1"/>
  <c r="V146" i="1" s="1"/>
  <c r="S140" i="1"/>
  <c r="T145" i="1" s="1"/>
  <c r="U145" i="1" s="1"/>
  <c r="S136" i="1"/>
  <c r="T123" i="1"/>
  <c r="U123" i="1" s="1"/>
  <c r="T126" i="1"/>
  <c r="U126" i="1" s="1"/>
  <c r="V126" i="1" s="1"/>
  <c r="T125" i="1"/>
  <c r="U125" i="1" s="1"/>
  <c r="V125" i="1" s="1"/>
  <c r="T124" i="1"/>
  <c r="V124" i="1" s="1"/>
  <c r="X286" i="1" l="1"/>
  <c r="V277" i="1"/>
  <c r="W277" i="1"/>
  <c r="V273" i="1"/>
  <c r="W273" i="1"/>
  <c r="W290" i="1"/>
  <c r="V290" i="1"/>
  <c r="T295" i="1"/>
  <c r="U295" i="1" s="1"/>
  <c r="T296" i="1"/>
  <c r="U296" i="1" s="1"/>
  <c r="V296" i="1" s="1"/>
  <c r="T297" i="1"/>
  <c r="U297" i="1" s="1"/>
  <c r="V297" i="1" s="1"/>
  <c r="T298" i="1"/>
  <c r="U298" i="1" s="1"/>
  <c r="V298" i="1" s="1"/>
  <c r="T283" i="1"/>
  <c r="U283" i="1" s="1"/>
  <c r="W265" i="1"/>
  <c r="V265" i="1"/>
  <c r="W260" i="1"/>
  <c r="V260" i="1"/>
  <c r="V251" i="1"/>
  <c r="W251" i="1"/>
  <c r="W256" i="1"/>
  <c r="V256" i="1"/>
  <c r="W243" i="1"/>
  <c r="X243" i="1" s="1"/>
  <c r="V217" i="1"/>
  <c r="W217" i="1"/>
  <c r="W230" i="1"/>
  <c r="V230" i="1"/>
  <c r="V221" i="1"/>
  <c r="W221" i="1"/>
  <c r="X221" i="1" s="1"/>
  <c r="W235" i="1"/>
  <c r="V235" i="1"/>
  <c r="W213" i="1"/>
  <c r="V213" i="1"/>
  <c r="W205" i="1"/>
  <c r="X205" i="1" s="1"/>
  <c r="V205" i="1"/>
  <c r="T190" i="1"/>
  <c r="U190" i="1" s="1"/>
  <c r="V190" i="1" s="1"/>
  <c r="T188" i="1"/>
  <c r="U188" i="1" s="1"/>
  <c r="V188" i="1" s="1"/>
  <c r="T187" i="1"/>
  <c r="U187" i="1" s="1"/>
  <c r="T189" i="1"/>
  <c r="U189" i="1" s="1"/>
  <c r="V189" i="1" s="1"/>
  <c r="T204" i="1"/>
  <c r="U204" i="1" s="1"/>
  <c r="V204" i="1" s="1"/>
  <c r="T191" i="1"/>
  <c r="U191" i="1" s="1"/>
  <c r="T186" i="1"/>
  <c r="U186" i="1" s="1"/>
  <c r="V186" i="1" s="1"/>
  <c r="T185" i="1"/>
  <c r="U185" i="1" s="1"/>
  <c r="V185" i="1" s="1"/>
  <c r="T183" i="1"/>
  <c r="U183" i="1" s="1"/>
  <c r="T184" i="1"/>
  <c r="U184" i="1" s="1"/>
  <c r="V184" i="1" s="1"/>
  <c r="T199" i="1"/>
  <c r="U199" i="1" s="1"/>
  <c r="V157" i="1"/>
  <c r="W157" i="1"/>
  <c r="X157" i="1" s="1"/>
  <c r="V161" i="1"/>
  <c r="W161" i="1"/>
  <c r="V166" i="1"/>
  <c r="W166" i="1"/>
  <c r="X166" i="1" s="1"/>
  <c r="V170" i="1"/>
  <c r="W170" i="1"/>
  <c r="V153" i="1"/>
  <c r="W153" i="1"/>
  <c r="X153" i="1" s="1"/>
  <c r="T127" i="1"/>
  <c r="U127" i="1" s="1"/>
  <c r="T132" i="1"/>
  <c r="U132" i="1" s="1"/>
  <c r="V132" i="1" s="1"/>
  <c r="W145" i="1"/>
  <c r="V145" i="1"/>
  <c r="T136" i="1"/>
  <c r="U136" i="1" s="1"/>
  <c r="T138" i="1"/>
  <c r="U138" i="1" s="1"/>
  <c r="V138" i="1" s="1"/>
  <c r="T137" i="1"/>
  <c r="U137" i="1" s="1"/>
  <c r="V137" i="1" s="1"/>
  <c r="T139" i="1"/>
  <c r="U139" i="1" s="1"/>
  <c r="V139" i="1" s="1"/>
  <c r="V123" i="1"/>
  <c r="W123" i="1"/>
  <c r="T144" i="1"/>
  <c r="U144" i="1" s="1"/>
  <c r="V144" i="1" s="1"/>
  <c r="T141" i="1"/>
  <c r="U141" i="1" s="1"/>
  <c r="V141" i="1" s="1"/>
  <c r="T143" i="1"/>
  <c r="U143" i="1" s="1"/>
  <c r="V143" i="1" s="1"/>
  <c r="T142" i="1"/>
  <c r="U142" i="1" s="1"/>
  <c r="V142" i="1" s="1"/>
  <c r="T140" i="1"/>
  <c r="U140" i="1" s="1"/>
  <c r="T128" i="1"/>
  <c r="U128" i="1" s="1"/>
  <c r="V128" i="1" s="1"/>
  <c r="V127" i="1"/>
  <c r="V131" i="1"/>
  <c r="W131" i="1"/>
  <c r="X131" i="1" s="1"/>
  <c r="X277" i="1" l="1"/>
  <c r="X273" i="1"/>
  <c r="V283" i="1"/>
  <c r="W281" i="1"/>
  <c r="X281" i="1" s="1"/>
  <c r="W295" i="1"/>
  <c r="V295" i="1"/>
  <c r="X290" i="1"/>
  <c r="X265" i="1"/>
  <c r="X256" i="1"/>
  <c r="X260" i="1"/>
  <c r="X251" i="1"/>
  <c r="X235" i="1"/>
  <c r="X217" i="1"/>
  <c r="X230" i="1"/>
  <c r="X213" i="1"/>
  <c r="X170" i="1"/>
  <c r="X161" i="1"/>
  <c r="V183" i="1"/>
  <c r="W183" i="1"/>
  <c r="X183" i="1" s="1"/>
  <c r="V199" i="1"/>
  <c r="W196" i="1"/>
  <c r="X196" i="1" s="1"/>
  <c r="V187" i="1"/>
  <c r="W187" i="1"/>
  <c r="X187" i="1" s="1"/>
  <c r="V191" i="1"/>
  <c r="W191" i="1"/>
  <c r="X191" i="1" s="1"/>
  <c r="W200" i="1"/>
  <c r="X200" i="1" s="1"/>
  <c r="W127" i="1"/>
  <c r="X127" i="1" s="1"/>
  <c r="X123" i="1"/>
  <c r="V136" i="1"/>
  <c r="W136" i="1"/>
  <c r="X136" i="1" s="1"/>
  <c r="W140" i="1"/>
  <c r="V140" i="1"/>
  <c r="X145" i="1"/>
  <c r="X295" i="1" l="1"/>
  <c r="X140" i="1"/>
</calcChain>
</file>

<file path=xl/sharedStrings.xml><?xml version="1.0" encoding="utf-8"?>
<sst xmlns="http://schemas.openxmlformats.org/spreadsheetml/2006/main" count="280" uniqueCount="44">
  <si>
    <t>环号</t>
    <phoneticPr fontId="2" type="noConversion"/>
  </si>
  <si>
    <t>管段编号</t>
    <phoneticPr fontId="2" type="noConversion"/>
  </si>
  <si>
    <t>管长l</t>
    <phoneticPr fontId="2" type="noConversion"/>
  </si>
  <si>
    <t>管径D</t>
    <phoneticPr fontId="2" type="noConversion"/>
  </si>
  <si>
    <t>流量初分配</t>
    <phoneticPr fontId="2" type="noConversion"/>
  </si>
  <si>
    <t>闭合差h</t>
    <phoneticPr fontId="2" type="noConversion"/>
  </si>
  <si>
    <t>校正流量q</t>
    <phoneticPr fontId="2" type="noConversion"/>
  </si>
  <si>
    <t>管段流量q</t>
    <phoneticPr fontId="2" type="noConversion"/>
  </si>
  <si>
    <t>管段水头损失h</t>
    <phoneticPr fontId="2" type="noConversion"/>
  </si>
  <si>
    <t>|sq|</t>
    <phoneticPr fontId="2" type="noConversion"/>
  </si>
  <si>
    <t>流量2分配</t>
    <phoneticPr fontId="2" type="noConversion"/>
  </si>
  <si>
    <t>流量3分配</t>
    <phoneticPr fontId="2" type="noConversion"/>
  </si>
  <si>
    <t>流量4分配</t>
    <phoneticPr fontId="2" type="noConversion"/>
  </si>
  <si>
    <t>流量4分配</t>
    <phoneticPr fontId="2" type="noConversion"/>
  </si>
  <si>
    <t>流量5分配</t>
    <phoneticPr fontId="2" type="noConversion"/>
  </si>
  <si>
    <t>流量6分配</t>
    <phoneticPr fontId="2" type="noConversion"/>
  </si>
  <si>
    <t>流量7分配</t>
    <phoneticPr fontId="2" type="noConversion"/>
  </si>
  <si>
    <t>流量8分配</t>
    <phoneticPr fontId="2" type="noConversion"/>
  </si>
  <si>
    <t>流量9分配</t>
    <phoneticPr fontId="2" type="noConversion"/>
  </si>
  <si>
    <t>流量10分配</t>
    <phoneticPr fontId="2" type="noConversion"/>
  </si>
  <si>
    <t>流量11分配</t>
    <phoneticPr fontId="2" type="noConversion"/>
  </si>
  <si>
    <t>流量12分配</t>
    <phoneticPr fontId="2" type="noConversion"/>
  </si>
  <si>
    <t>流量13分配</t>
    <phoneticPr fontId="2" type="noConversion"/>
  </si>
  <si>
    <t>流量13分配</t>
    <phoneticPr fontId="2" type="noConversion"/>
  </si>
  <si>
    <t>流量14分配</t>
    <phoneticPr fontId="2" type="noConversion"/>
  </si>
  <si>
    <t>流量15分配</t>
    <phoneticPr fontId="2" type="noConversion"/>
  </si>
  <si>
    <t>流量16分配</t>
    <phoneticPr fontId="2" type="noConversion"/>
  </si>
  <si>
    <t>流量16分配</t>
    <phoneticPr fontId="2" type="noConversion"/>
  </si>
  <si>
    <t>流量17分配</t>
    <phoneticPr fontId="2" type="noConversion"/>
  </si>
  <si>
    <t>流量18分配</t>
    <phoneticPr fontId="2" type="noConversion"/>
  </si>
  <si>
    <t>流量19分配</t>
    <phoneticPr fontId="2" type="noConversion"/>
  </si>
  <si>
    <t>流量20分配</t>
    <phoneticPr fontId="2" type="noConversion"/>
  </si>
  <si>
    <t>流量21分配</t>
    <phoneticPr fontId="2" type="noConversion"/>
  </si>
  <si>
    <t>流量22分配</t>
    <phoneticPr fontId="2" type="noConversion"/>
  </si>
  <si>
    <t>流量23分配</t>
    <phoneticPr fontId="2" type="noConversion"/>
  </si>
  <si>
    <t>流量24分配</t>
    <phoneticPr fontId="2" type="noConversion"/>
  </si>
  <si>
    <t>流量25分配</t>
    <phoneticPr fontId="2" type="noConversion"/>
  </si>
  <si>
    <t>流量25分配</t>
    <phoneticPr fontId="2" type="noConversion"/>
  </si>
  <si>
    <t>流量26分配</t>
    <phoneticPr fontId="2" type="noConversion"/>
  </si>
  <si>
    <t>流量27分配</t>
    <phoneticPr fontId="2" type="noConversion"/>
  </si>
  <si>
    <t>流量28分配</t>
    <phoneticPr fontId="2" type="noConversion"/>
  </si>
  <si>
    <t>流量29分配</t>
    <phoneticPr fontId="2" type="noConversion"/>
  </si>
  <si>
    <t>流量30分配</t>
    <phoneticPr fontId="2" type="noConversion"/>
  </si>
  <si>
    <t>流量31分配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</si>
</sst>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8"/>
  <sheetViews>
    <sheetView tabSelected="1" topLeftCell="B274" workbookViewId="0">
      <selection activeCell="W277" sqref="W277:W280"/>
    </sheetView>
  </sheetViews>
  <sheetFormatPr defaultRowHeight="13.8" x14ac:dyDescent="0.25"/>
  <sheetData>
    <row r="1" spans="1:24" x14ac:dyDescent="0.25">
      <c r="A1" s="32" t="s">
        <v>0</v>
      </c>
      <c r="B1" s="33" t="s">
        <v>1</v>
      </c>
      <c r="C1" s="34" t="s">
        <v>2</v>
      </c>
      <c r="D1" s="34" t="s">
        <v>3</v>
      </c>
      <c r="E1" s="25" t="s">
        <v>4</v>
      </c>
      <c r="F1" s="25"/>
      <c r="G1" s="25"/>
      <c r="H1" s="26" t="s">
        <v>5</v>
      </c>
      <c r="I1" s="26" t="s">
        <v>6</v>
      </c>
      <c r="J1" s="25" t="s">
        <v>10</v>
      </c>
      <c r="K1" s="25"/>
      <c r="L1" s="25"/>
      <c r="M1" s="26" t="s">
        <v>5</v>
      </c>
      <c r="N1" s="26" t="s">
        <v>6</v>
      </c>
      <c r="O1" s="25" t="s">
        <v>11</v>
      </c>
      <c r="P1" s="25"/>
      <c r="Q1" s="25"/>
      <c r="R1" s="26" t="s">
        <v>5</v>
      </c>
      <c r="S1" s="26" t="s">
        <v>6</v>
      </c>
      <c r="T1" s="25" t="s">
        <v>13</v>
      </c>
      <c r="U1" s="25"/>
      <c r="V1" s="25"/>
      <c r="W1" s="26" t="s">
        <v>5</v>
      </c>
      <c r="X1" s="26" t="s">
        <v>6</v>
      </c>
    </row>
    <row r="2" spans="1:24" x14ac:dyDescent="0.25">
      <c r="A2" s="32"/>
      <c r="B2" s="33"/>
      <c r="C2" s="35"/>
      <c r="D2" s="35"/>
      <c r="E2" s="1" t="s">
        <v>7</v>
      </c>
      <c r="F2" s="1" t="s">
        <v>8</v>
      </c>
      <c r="G2" s="2" t="s">
        <v>9</v>
      </c>
      <c r="H2" s="27"/>
      <c r="I2" s="27"/>
      <c r="J2" s="1" t="s">
        <v>7</v>
      </c>
      <c r="K2" s="1" t="s">
        <v>8</v>
      </c>
      <c r="L2" s="2" t="s">
        <v>9</v>
      </c>
      <c r="M2" s="27"/>
      <c r="N2" s="27"/>
      <c r="O2" s="1" t="s">
        <v>7</v>
      </c>
      <c r="P2" s="1" t="s">
        <v>8</v>
      </c>
      <c r="Q2" s="2" t="s">
        <v>9</v>
      </c>
      <c r="R2" s="27"/>
      <c r="S2" s="27"/>
      <c r="T2" s="1" t="s">
        <v>7</v>
      </c>
      <c r="U2" s="1" t="s">
        <v>8</v>
      </c>
      <c r="V2" s="2" t="s">
        <v>9</v>
      </c>
      <c r="W2" s="27"/>
      <c r="X2" s="27"/>
    </row>
    <row r="3" spans="1:24" x14ac:dyDescent="0.25">
      <c r="A3" s="28">
        <v>1</v>
      </c>
      <c r="B3" s="5">
        <v>5</v>
      </c>
      <c r="C3" s="6">
        <v>847</v>
      </c>
      <c r="D3" s="6">
        <v>600</v>
      </c>
      <c r="E3" s="6">
        <v>306.58</v>
      </c>
      <c r="F3" s="6">
        <f>10.67*((ABS(E3)/1000)^1.852)*C3/((100^1.852)*(D3/1000)^4.87)</f>
        <v>2.4073009920498221</v>
      </c>
      <c r="G3" s="6">
        <f>ABS(F3/E3)</f>
        <v>7.8521136148797122E-3</v>
      </c>
      <c r="H3" s="22">
        <f>F3+F4-F5-F6</f>
        <v>5.7688895488541991</v>
      </c>
      <c r="I3" s="22">
        <f>-H3/(2*(G3+G4+G5+G6))</f>
        <v>-36.507236703940038</v>
      </c>
      <c r="J3" s="6">
        <f>E3+I3</f>
        <v>270.07276329605997</v>
      </c>
      <c r="K3" s="6">
        <f>10.67*((ABS(J3)/1000)^1.852)*C3/((100^1.852)*(D3/1000)^4.87)</f>
        <v>1.9035034127456743</v>
      </c>
      <c r="L3" s="6">
        <f>ABS(K3/J3)</f>
        <v>7.0481132177664654E-3</v>
      </c>
      <c r="M3" s="22">
        <f>K3+K4-K5-K6</f>
        <v>1.4217840486312261</v>
      </c>
      <c r="N3" s="22">
        <f>-M3/(2*(L3+L4+L5+L6))</f>
        <v>-11.688514010565758</v>
      </c>
      <c r="O3" s="6">
        <f>J3+N3</f>
        <v>258.38424928549421</v>
      </c>
      <c r="P3" s="6">
        <f>10.67*((ABS(O3)/1000)^1.852)*C3/((100^1.852)*(D3/1000)^4.87)</f>
        <v>1.7537510312623519</v>
      </c>
      <c r="Q3" s="6">
        <f>ABS(P3/O3)</f>
        <v>6.7873759182766414E-3</v>
      </c>
      <c r="R3" s="22">
        <f>P3+P4-P5-P6</f>
        <v>0.99538477630928601</v>
      </c>
      <c r="S3" s="22">
        <f>-R3/(2*(Q3+Q4+Q5+Q6))</f>
        <v>-9.2720092388025375</v>
      </c>
      <c r="T3" s="6">
        <f>O3+S3</f>
        <v>249.11224004669168</v>
      </c>
      <c r="U3" s="6">
        <f>10.67*((ABS(T3)/1000)^1.852)*C3/((100^1.852)*(D3/1000)^4.87)</f>
        <v>1.6389847188498916</v>
      </c>
      <c r="V3" s="6">
        <f>ABS(U3/T3)</f>
        <v>6.5793022395956658E-3</v>
      </c>
      <c r="W3" s="22">
        <f>U3+U4-U5-U6</f>
        <v>-7.2370271435338251E-2</v>
      </c>
      <c r="X3" s="22">
        <f>-W3/(2*(V3+V4+V5+V6))</f>
        <v>0.71922569470226727</v>
      </c>
    </row>
    <row r="4" spans="1:24" x14ac:dyDescent="0.25">
      <c r="A4" s="28"/>
      <c r="B4" s="8">
        <v>9</v>
      </c>
      <c r="C4" s="9">
        <v>1121</v>
      </c>
      <c r="D4" s="9">
        <v>400</v>
      </c>
      <c r="E4" s="9">
        <v>174.92</v>
      </c>
      <c r="F4" s="6">
        <f>10.67*((ABS(E4)/1000)^1.852)*C4/((100^1.852)*(D4/1000)^4.87)</f>
        <v>8.1185144915669412</v>
      </c>
      <c r="G4" s="6">
        <f t="shared" ref="G4:G28" si="0">ABS(F4/E4)</f>
        <v>4.6412728627755209E-2</v>
      </c>
      <c r="H4" s="23"/>
      <c r="I4" s="23"/>
      <c r="J4" s="6">
        <f>E4+I3-I16</f>
        <v>112.35794463442575</v>
      </c>
      <c r="K4" s="6">
        <f>10.67*((ABS(J4)/1000)^1.852)*C4/((100^1.852)*(D4/1000)^4.87)</f>
        <v>3.5764823489749498</v>
      </c>
      <c r="L4" s="6">
        <f>ABS(K4/J4)</f>
        <v>3.1831147860630578E-2</v>
      </c>
      <c r="M4" s="23"/>
      <c r="N4" s="23"/>
      <c r="O4" s="6">
        <f>J4+N3-N16</f>
        <v>95.586937611619945</v>
      </c>
      <c r="P4" s="6">
        <f t="shared" ref="P4:P28" si="1">10.67*((ABS(O4)/1000)^1.852)*C4/((100^1.852)*(D4/1000)^4.87)</f>
        <v>2.6511602843640079</v>
      </c>
      <c r="Q4" s="6">
        <f>ABS(P4/O4)</f>
        <v>2.7735591814186562E-2</v>
      </c>
      <c r="R4" s="23"/>
      <c r="S4" s="23"/>
      <c r="T4" s="6">
        <f>O4+S3-S16</f>
        <v>80.069770025243784</v>
      </c>
      <c r="U4" s="6">
        <f t="shared" ref="U4:U28" si="2">10.67*((ABS(T4)/1000)^1.852)*C4/((100^1.852)*(D4/1000)^4.87)</f>
        <v>1.9096847786450704</v>
      </c>
      <c r="V4" s="6">
        <f>ABS(U4/T4)</f>
        <v>2.3850259318129671E-2</v>
      </c>
      <c r="W4" s="23"/>
      <c r="X4" s="23"/>
    </row>
    <row r="5" spans="1:24" x14ac:dyDescent="0.25">
      <c r="A5" s="28"/>
      <c r="B5" s="3">
        <v>-6</v>
      </c>
      <c r="C5" s="4">
        <v>1075</v>
      </c>
      <c r="D5" s="4">
        <v>450</v>
      </c>
      <c r="E5" s="4">
        <v>-149.9</v>
      </c>
      <c r="F5" s="6">
        <f t="shared" ref="F5:F28" si="3">10.67*((ABS(E5)/1000)^1.852)*C5/((100^1.852)*(D5/1000)^4.87)</f>
        <v>3.2961924905206872</v>
      </c>
      <c r="G5" s="6">
        <f t="shared" si="0"/>
        <v>2.1989276120885172E-2</v>
      </c>
      <c r="H5" s="23"/>
      <c r="I5" s="23"/>
      <c r="J5" s="6">
        <f>E5+I3-I7</f>
        <v>-126.45868988443675</v>
      </c>
      <c r="K5" s="6">
        <f t="shared" ref="K5:K28" si="4">10.67*((ABS(J5)/1000)^1.852)*C5/((100^1.852)*(D5/1000)^4.87)</f>
        <v>2.4056746600085686</v>
      </c>
      <c r="L5" s="6">
        <f t="shared" ref="L5" si="5">ABS(K5/J5)</f>
        <v>1.90234033122356E-2</v>
      </c>
      <c r="M5" s="23"/>
      <c r="N5" s="23"/>
      <c r="O5" s="6">
        <f>J5+N3-N7</f>
        <v>-104.61731476325363</v>
      </c>
      <c r="P5" s="6">
        <f t="shared" si="1"/>
        <v>1.6932993856883225</v>
      </c>
      <c r="Q5" s="6">
        <f t="shared" ref="Q5" si="6">ABS(P5/O5)</f>
        <v>1.618565138591271E-2</v>
      </c>
      <c r="R5" s="23"/>
      <c r="S5" s="23"/>
      <c r="T5" s="6">
        <f>O5+S3-S7</f>
        <v>-109.8502308022847</v>
      </c>
      <c r="U5" s="6">
        <f t="shared" si="2"/>
        <v>1.853494684781317</v>
      </c>
      <c r="V5" s="6">
        <f t="shared" ref="V5" si="7">ABS(U5/T5)</f>
        <v>1.6872924810848622E-2</v>
      </c>
      <c r="W5" s="23"/>
      <c r="X5" s="23"/>
    </row>
    <row r="6" spans="1:24" x14ac:dyDescent="0.25">
      <c r="A6" s="28"/>
      <c r="B6" s="5">
        <v>-2</v>
      </c>
      <c r="C6" s="6">
        <v>757</v>
      </c>
      <c r="D6" s="6">
        <v>800</v>
      </c>
      <c r="E6" s="6">
        <v>-530</v>
      </c>
      <c r="F6" s="6">
        <f>10.67*((ABS(E6)/1000)^1.852)*C6/((100^1.852)*(D6/1000)^4.87)</f>
        <v>1.4607334442418778</v>
      </c>
      <c r="G6" s="6">
        <f>ABS(F6/E6)</f>
        <v>2.7561008381922223E-3</v>
      </c>
      <c r="H6" s="24"/>
      <c r="I6" s="24"/>
      <c r="J6" s="6">
        <f>E6+I3</f>
        <v>-566.50723670394007</v>
      </c>
      <c r="K6" s="6">
        <f t="shared" si="4"/>
        <v>1.6525270530808289</v>
      </c>
      <c r="L6" s="6">
        <f>ABS(K6/J6)</f>
        <v>2.917044913134003E-3</v>
      </c>
      <c r="M6" s="24"/>
      <c r="N6" s="24"/>
      <c r="O6" s="6">
        <f>J6+N3</f>
        <v>-578.19575071450583</v>
      </c>
      <c r="P6" s="6">
        <f t="shared" si="1"/>
        <v>1.7162271536287512</v>
      </c>
      <c r="Q6" s="6">
        <f>ABS(P6/O6)</f>
        <v>2.968245877815467E-3</v>
      </c>
      <c r="R6" s="24"/>
      <c r="S6" s="24"/>
      <c r="T6" s="6">
        <f>O6+S3</f>
        <v>-587.46775995330836</v>
      </c>
      <c r="U6" s="6">
        <f t="shared" si="2"/>
        <v>1.7675450841489833</v>
      </c>
      <c r="V6" s="6">
        <f>ABS(U6/T6)</f>
        <v>3.0087524876079444E-3</v>
      </c>
      <c r="W6" s="24"/>
      <c r="X6" s="24"/>
    </row>
    <row r="7" spans="1:24" x14ac:dyDescent="0.25">
      <c r="A7" s="28">
        <v>2</v>
      </c>
      <c r="B7" s="3">
        <v>6</v>
      </c>
      <c r="C7" s="4">
        <v>1075</v>
      </c>
      <c r="D7" s="4">
        <v>450</v>
      </c>
      <c r="E7" s="4">
        <v>149.9</v>
      </c>
      <c r="F7" s="6">
        <f t="shared" si="3"/>
        <v>3.2961924905206872</v>
      </c>
      <c r="G7" s="6">
        <f t="shared" si="0"/>
        <v>2.1989276120885172E-2</v>
      </c>
      <c r="H7" s="22">
        <f>F7+F8-F9-F10</f>
        <v>25.360355911293443</v>
      </c>
      <c r="I7" s="22">
        <f>-H7/(2*(G7+G8+G9+G10))</f>
        <v>-59.948546819503292</v>
      </c>
      <c r="J7" s="6">
        <f>E7+I7-I3</f>
        <v>126.45868988443675</v>
      </c>
      <c r="K7" s="6">
        <f t="shared" si="4"/>
        <v>2.4056746600085686</v>
      </c>
      <c r="L7" s="6">
        <f t="shared" ref="L7:L15" si="8">ABS(K7/J7)</f>
        <v>1.90234033122356E-2</v>
      </c>
      <c r="M7" s="22">
        <f>K7+K8-K9-K10</f>
        <v>10.787341206382884</v>
      </c>
      <c r="N7" s="22">
        <f>-M7/(2*(L7+L8+L9+L10))</f>
        <v>-33.529889131748881</v>
      </c>
      <c r="O7" s="6">
        <f>J7+N7-N3</f>
        <v>104.61731476325362</v>
      </c>
      <c r="P7" s="6">
        <f t="shared" si="1"/>
        <v>1.6932993856883225</v>
      </c>
      <c r="Q7" s="6">
        <f t="shared" ref="Q7:Q15" si="9">ABS(P7/O7)</f>
        <v>1.6185651385912714E-2</v>
      </c>
      <c r="R7" s="22">
        <f>P7+P8-P9-P10</f>
        <v>0.86002438350384924</v>
      </c>
      <c r="S7" s="22">
        <f>-R7/(2*(Q7+Q8+Q9+Q10))</f>
        <v>-4.0390931997714725</v>
      </c>
      <c r="T7" s="6">
        <f>O7+S7-S3</f>
        <v>109.85023080228468</v>
      </c>
      <c r="U7" s="6">
        <f t="shared" si="2"/>
        <v>1.853494684781317</v>
      </c>
      <c r="V7" s="6">
        <f t="shared" ref="V7:V15" si="10">ABS(U7/T7)</f>
        <v>1.6872924810848625E-2</v>
      </c>
      <c r="W7" s="22">
        <f>U7+U8-U9-U10</f>
        <v>0.7749585036577904</v>
      </c>
      <c r="X7" s="22">
        <f>-W7/(2*(V7+V8+V9+V10))</f>
        <v>-3.7007752692381484</v>
      </c>
    </row>
    <row r="8" spans="1:24" x14ac:dyDescent="0.25">
      <c r="A8" s="28"/>
      <c r="B8" s="20">
        <v>10</v>
      </c>
      <c r="C8" s="21">
        <v>1300</v>
      </c>
      <c r="D8" s="21">
        <v>300</v>
      </c>
      <c r="E8" s="21">
        <v>137.28</v>
      </c>
      <c r="F8" s="6">
        <f t="shared" si="3"/>
        <v>24.399219061130022</v>
      </c>
      <c r="G8" s="6">
        <f t="shared" si="0"/>
        <v>0.17773323908165808</v>
      </c>
      <c r="H8" s="23"/>
      <c r="I8" s="23"/>
      <c r="J8" s="6">
        <f>E8+I7-I20</f>
        <v>92.970476225732597</v>
      </c>
      <c r="K8" s="6">
        <f t="shared" si="4"/>
        <v>11.855020359315136</v>
      </c>
      <c r="L8" s="6">
        <f t="shared" si="8"/>
        <v>0.12751381772565207</v>
      </c>
      <c r="M8" s="23"/>
      <c r="N8" s="23"/>
      <c r="O8" s="6">
        <f>J8+N7-N20</f>
        <v>49.017386193010296</v>
      </c>
      <c r="P8" s="6">
        <f t="shared" si="1"/>
        <v>3.6228949181188761</v>
      </c>
      <c r="Q8" s="6">
        <f t="shared" si="9"/>
        <v>7.3910406072110954E-2</v>
      </c>
      <c r="R8" s="23"/>
      <c r="S8" s="23"/>
      <c r="T8" s="6">
        <f>O8+S7-S20</f>
        <v>47.17877713897493</v>
      </c>
      <c r="U8" s="6">
        <f t="shared" si="2"/>
        <v>3.3752512938964259</v>
      </c>
      <c r="V8" s="6">
        <f t="shared" si="10"/>
        <v>7.1541729111670685E-2</v>
      </c>
      <c r="W8" s="23"/>
      <c r="X8" s="23"/>
    </row>
    <row r="9" spans="1:24" x14ac:dyDescent="0.25">
      <c r="A9" s="28"/>
      <c r="B9" s="12">
        <v>-7</v>
      </c>
      <c r="C9" s="13">
        <v>600</v>
      </c>
      <c r="D9" s="13">
        <v>500</v>
      </c>
      <c r="E9" s="13">
        <v>-115.28</v>
      </c>
      <c r="F9" s="6">
        <f t="shared" si="3"/>
        <v>0.67717372243241347</v>
      </c>
      <c r="G9" s="6">
        <f t="shared" si="0"/>
        <v>5.874164837199978E-3</v>
      </c>
      <c r="H9" s="23"/>
      <c r="I9" s="23"/>
      <c r="J9" s="6">
        <f>E9+I7-I11</f>
        <v>-149.7092899189274</v>
      </c>
      <c r="K9" s="6">
        <f t="shared" si="4"/>
        <v>1.0987336729819965</v>
      </c>
      <c r="L9" s="6">
        <f t="shared" si="8"/>
        <v>7.3391148510356151E-3</v>
      </c>
      <c r="M9" s="23"/>
      <c r="N9" s="23"/>
      <c r="O9" s="6">
        <f>J9+N7-N11</f>
        <v>-185.22081484816769</v>
      </c>
      <c r="P9" s="6">
        <f t="shared" si="1"/>
        <v>1.6296458711539206</v>
      </c>
      <c r="Q9" s="6">
        <f t="shared" si="9"/>
        <v>8.7983948914694132E-3</v>
      </c>
      <c r="R9" s="23"/>
      <c r="S9" s="23"/>
      <c r="T9" s="6">
        <f>O9+S7-S11</f>
        <v>-181.55333862397822</v>
      </c>
      <c r="U9" s="6">
        <f t="shared" si="2"/>
        <v>1.570390287317363</v>
      </c>
      <c r="V9" s="6">
        <f t="shared" si="10"/>
        <v>8.6497461254064611E-3</v>
      </c>
      <c r="W9" s="23"/>
      <c r="X9" s="23"/>
    </row>
    <row r="10" spans="1:24" x14ac:dyDescent="0.25">
      <c r="A10" s="28"/>
      <c r="B10" s="5">
        <v>-3</v>
      </c>
      <c r="C10" s="6">
        <v>690</v>
      </c>
      <c r="D10" s="6">
        <v>600</v>
      </c>
      <c r="E10" s="6">
        <v>-280</v>
      </c>
      <c r="F10" s="6">
        <f t="shared" si="3"/>
        <v>1.6578819179248541</v>
      </c>
      <c r="G10" s="6">
        <f t="shared" si="0"/>
        <v>5.9210068497316214E-3</v>
      </c>
      <c r="H10" s="24"/>
      <c r="I10" s="24"/>
      <c r="J10" s="6">
        <f>E10+I7</f>
        <v>-339.94854681950329</v>
      </c>
      <c r="K10" s="6">
        <f t="shared" si="4"/>
        <v>2.3746201399588238</v>
      </c>
      <c r="L10" s="6">
        <f t="shared" si="8"/>
        <v>6.9852339778338152E-3</v>
      </c>
      <c r="M10" s="24"/>
      <c r="N10" s="24"/>
      <c r="O10" s="6">
        <f>J10+N7</f>
        <v>-373.47843595125215</v>
      </c>
      <c r="P10" s="6">
        <f t="shared" si="1"/>
        <v>2.8265240491494286</v>
      </c>
      <c r="Q10" s="6">
        <f t="shared" si="9"/>
        <v>7.5681050820250234E-3</v>
      </c>
      <c r="R10" s="24"/>
      <c r="S10" s="24"/>
      <c r="T10" s="6">
        <f>O10+S7</f>
        <v>-377.51752915102361</v>
      </c>
      <c r="U10" s="6">
        <f t="shared" si="2"/>
        <v>2.8833971877025899</v>
      </c>
      <c r="V10" s="6">
        <f t="shared" si="10"/>
        <v>7.6377835863327666E-3</v>
      </c>
      <c r="W10" s="24"/>
      <c r="X10" s="24"/>
    </row>
    <row r="11" spans="1:24" x14ac:dyDescent="0.25">
      <c r="A11" s="28">
        <v>3</v>
      </c>
      <c r="B11" s="12">
        <v>7</v>
      </c>
      <c r="C11" s="13">
        <v>600</v>
      </c>
      <c r="D11" s="13">
        <v>500</v>
      </c>
      <c r="E11" s="13">
        <v>115.28</v>
      </c>
      <c r="F11" s="6">
        <f t="shared" si="3"/>
        <v>0.67717372243241347</v>
      </c>
      <c r="G11" s="6">
        <f t="shared" si="0"/>
        <v>5.874164837199978E-3</v>
      </c>
      <c r="H11" s="22">
        <f>F11+F12+F13-F14-F15</f>
        <v>38.674784866776356</v>
      </c>
      <c r="I11" s="22">
        <f>-H11/(2*(G11+G12+G13+G14+G15))</f>
        <v>-25.519256900575908</v>
      </c>
      <c r="J11" s="6">
        <f>E11+I11-I7</f>
        <v>149.70928991892737</v>
      </c>
      <c r="K11" s="6">
        <f t="shared" si="4"/>
        <v>1.0987336729819963</v>
      </c>
      <c r="L11" s="6">
        <f t="shared" si="8"/>
        <v>7.3391148510356151E-3</v>
      </c>
      <c r="M11" s="22">
        <f>K11+K12+K13-K14-K15</f>
        <v>-0.75662780843826383</v>
      </c>
      <c r="N11" s="22">
        <f>-M11/(2*(L11+L12+L13+L14+L15))</f>
        <v>1.9816357974914152</v>
      </c>
      <c r="O11" s="6">
        <f>J11+N11-N7</f>
        <v>185.22081484816766</v>
      </c>
      <c r="P11" s="6">
        <f t="shared" si="1"/>
        <v>1.6296458711539199</v>
      </c>
      <c r="Q11" s="6">
        <f t="shared" si="9"/>
        <v>8.7983948914694098E-3</v>
      </c>
      <c r="R11" s="22">
        <f>P11+P12+P13-P14-P15</f>
        <v>5.7862666151454718</v>
      </c>
      <c r="S11" s="22">
        <f>-R11/(2*(Q11+Q12+Q13+Q14+Q15))</f>
        <v>-7.7065694239609464</v>
      </c>
      <c r="T11" s="6">
        <f>O11+S11-S7</f>
        <v>181.55333862397819</v>
      </c>
      <c r="U11" s="6">
        <f>10.67*((ABS(T11)/1000)^1.852)*C11/((100^1.852)*(D11/1000)^4.87)</f>
        <v>1.5703902873173621</v>
      </c>
      <c r="V11" s="6">
        <f t="shared" si="10"/>
        <v>8.6497461254064576E-3</v>
      </c>
      <c r="W11" s="22">
        <f>U11+U12+U13-U14-U15</f>
        <v>0.41673080654913885</v>
      </c>
      <c r="X11" s="22">
        <f>-W11/(2*(V11+V12+V13+V14+V15))</f>
        <v>-0.84150590595061026</v>
      </c>
    </row>
    <row r="12" spans="1:24" x14ac:dyDescent="0.25">
      <c r="A12" s="28"/>
      <c r="B12" s="18">
        <v>14</v>
      </c>
      <c r="C12" s="19">
        <v>460</v>
      </c>
      <c r="D12" s="19">
        <v>500</v>
      </c>
      <c r="E12" s="19">
        <v>170.68</v>
      </c>
      <c r="F12" s="6">
        <f t="shared" si="3"/>
        <v>1.0738424511606084</v>
      </c>
      <c r="G12" s="6">
        <f t="shared" si="0"/>
        <v>6.2915540846063293E-3</v>
      </c>
      <c r="H12" s="23"/>
      <c r="I12" s="23"/>
      <c r="J12" s="6">
        <f>E12+I11-I20</f>
        <v>160.79976614466</v>
      </c>
      <c r="K12" s="6">
        <f>10.67*((ABS(J12)/1000)^1.852)*C12/((100^1.852)*(D12/1000)^4.87)</f>
        <v>0.96156559214541137</v>
      </c>
      <c r="L12" s="6">
        <f t="shared" si="8"/>
        <v>5.9798942199975579E-3</v>
      </c>
      <c r="M12" s="23"/>
      <c r="N12" s="23"/>
      <c r="O12" s="6">
        <f>J12+N11-N20</f>
        <v>152.35820104117798</v>
      </c>
      <c r="P12" s="6">
        <f t="shared" si="1"/>
        <v>0.87017351040593771</v>
      </c>
      <c r="Q12" s="6">
        <f t="shared" si="9"/>
        <v>5.7113664014105496E-3</v>
      </c>
      <c r="R12" s="23"/>
      <c r="S12" s="23"/>
      <c r="T12" s="6">
        <f>O12+S11-S20</f>
        <v>146.85211576295313</v>
      </c>
      <c r="U12" s="6">
        <f t="shared" si="2"/>
        <v>0.81283140547928712</v>
      </c>
      <c r="V12" s="6">
        <f t="shared" si="10"/>
        <v>5.5350336715022175E-3</v>
      </c>
      <c r="W12" s="23"/>
      <c r="X12" s="23"/>
    </row>
    <row r="13" spans="1:24" x14ac:dyDescent="0.25">
      <c r="A13" s="28"/>
      <c r="B13" s="16">
        <v>11</v>
      </c>
      <c r="C13" s="17">
        <v>1590</v>
      </c>
      <c r="D13" s="17">
        <v>200</v>
      </c>
      <c r="E13" s="17">
        <v>55</v>
      </c>
      <c r="F13" s="6">
        <f t="shared" si="3"/>
        <v>39.509102642649474</v>
      </c>
      <c r="G13" s="6">
        <f t="shared" si="0"/>
        <v>0.71834732077544494</v>
      </c>
      <c r="H13" s="23"/>
      <c r="I13" s="23"/>
      <c r="J13" s="6">
        <f>E13+I11-I25</f>
        <v>8.3493211467127537</v>
      </c>
      <c r="K13" s="6">
        <f t="shared" si="4"/>
        <v>1.2034926001212736</v>
      </c>
      <c r="L13" s="6">
        <f t="shared" si="8"/>
        <v>0.14414256907522424</v>
      </c>
      <c r="M13" s="23"/>
      <c r="N13" s="23"/>
      <c r="O13" s="6">
        <f>J13+N11-N25</f>
        <v>21.910286214540506</v>
      </c>
      <c r="P13" s="6">
        <f t="shared" si="1"/>
        <v>7.1849815114445583</v>
      </c>
      <c r="Q13" s="6">
        <f t="shared" si="9"/>
        <v>0.32792732331704227</v>
      </c>
      <c r="R13" s="23"/>
      <c r="S13" s="23"/>
      <c r="T13" s="6">
        <f>O13+S11-S25</f>
        <v>12.163310351061877</v>
      </c>
      <c r="U13" s="6">
        <f t="shared" si="2"/>
        <v>2.4158022217654853</v>
      </c>
      <c r="V13" s="6">
        <f t="shared" si="10"/>
        <v>0.19861387665361854</v>
      </c>
      <c r="W13" s="23"/>
      <c r="X13" s="23"/>
    </row>
    <row r="14" spans="1:24" x14ac:dyDescent="0.25">
      <c r="A14" s="28"/>
      <c r="B14" s="5">
        <v>-8</v>
      </c>
      <c r="C14" s="6">
        <v>284</v>
      </c>
      <c r="D14" s="6">
        <v>400</v>
      </c>
      <c r="E14" s="6">
        <v>-75.92</v>
      </c>
      <c r="F14" s="6">
        <f t="shared" si="3"/>
        <v>0.43839973507152596</v>
      </c>
      <c r="G14" s="6">
        <f t="shared" si="0"/>
        <v>5.7744959835553996E-3</v>
      </c>
      <c r="H14" s="23"/>
      <c r="I14" s="23"/>
      <c r="J14" s="6">
        <f>E14+I11</f>
        <v>-101.43925690057591</v>
      </c>
      <c r="K14" s="6">
        <f>10.67*((ABS(J14)/1000)^1.852)*C14/((100^1.852)*(D14/1000)^4.87)</f>
        <v>0.7497979059050911</v>
      </c>
      <c r="L14" s="6">
        <f t="shared" si="8"/>
        <v>7.3915950176960945E-3</v>
      </c>
      <c r="M14" s="23"/>
      <c r="N14" s="23"/>
      <c r="O14" s="6">
        <f>J14+N11</f>
        <v>-99.457621103084492</v>
      </c>
      <c r="P14" s="6">
        <f t="shared" si="1"/>
        <v>0.72289679997367373</v>
      </c>
      <c r="Q14" s="6">
        <f t="shared" si="9"/>
        <v>7.2683902144051425E-3</v>
      </c>
      <c r="R14" s="23"/>
      <c r="S14" s="23"/>
      <c r="T14" s="6">
        <f>O14+S11</f>
        <v>-107.16419052704543</v>
      </c>
      <c r="U14" s="6">
        <f t="shared" si="2"/>
        <v>0.830046884008941</v>
      </c>
      <c r="V14" s="6">
        <f t="shared" si="10"/>
        <v>7.7455620196138081E-3</v>
      </c>
      <c r="W14" s="23"/>
      <c r="X14" s="23"/>
    </row>
    <row r="15" spans="1:24" x14ac:dyDescent="0.25">
      <c r="A15" s="28"/>
      <c r="B15" s="5">
        <v>-4</v>
      </c>
      <c r="C15" s="6">
        <v>835</v>
      </c>
      <c r="D15" s="5">
        <v>400</v>
      </c>
      <c r="E15" s="6">
        <v>-100</v>
      </c>
      <c r="F15" s="6">
        <f t="shared" si="3"/>
        <v>2.1469342143946117</v>
      </c>
      <c r="G15" s="6">
        <f t="shared" si="0"/>
        <v>2.1469342143946118E-2</v>
      </c>
      <c r="H15" s="24"/>
      <c r="I15" s="24"/>
      <c r="J15" s="6">
        <f>E15+I11</f>
        <v>-125.51925690057591</v>
      </c>
      <c r="K15" s="6">
        <f t="shared" si="4"/>
        <v>3.2706217677818539</v>
      </c>
      <c r="L15" s="6">
        <f t="shared" si="8"/>
        <v>2.6056733034776656E-2</v>
      </c>
      <c r="M15" s="24"/>
      <c r="N15" s="24"/>
      <c r="O15" s="6">
        <f>J15+N11</f>
        <v>-123.53762110308449</v>
      </c>
      <c r="P15" s="6">
        <f t="shared" si="1"/>
        <v>3.1756374778852714</v>
      </c>
      <c r="Q15" s="6">
        <f t="shared" si="9"/>
        <v>2.5705833166686922E-2</v>
      </c>
      <c r="R15" s="24"/>
      <c r="S15" s="24"/>
      <c r="T15" s="6">
        <f>O15+S11</f>
        <v>-131.24419052704545</v>
      </c>
      <c r="U15" s="6">
        <f t="shared" si="2"/>
        <v>3.5522462240040547</v>
      </c>
      <c r="V15" s="6">
        <f t="shared" si="10"/>
        <v>2.7065931145135481E-2</v>
      </c>
      <c r="W15" s="24"/>
      <c r="X15" s="24"/>
    </row>
    <row r="16" spans="1:24" x14ac:dyDescent="0.25">
      <c r="A16" s="28">
        <v>4</v>
      </c>
      <c r="B16" s="5">
        <v>12</v>
      </c>
      <c r="C16" s="6">
        <v>385</v>
      </c>
      <c r="D16" s="5">
        <v>400</v>
      </c>
      <c r="E16" s="6">
        <v>60</v>
      </c>
      <c r="F16" s="6">
        <f t="shared" si="3"/>
        <v>0.38435196600372268</v>
      </c>
      <c r="G16" s="6">
        <f>ABS(F16/E16)</f>
        <v>6.4058661000620442E-3</v>
      </c>
      <c r="H16" s="22">
        <f>F16+F17-F18-F19</f>
        <v>-93.399960769976815</v>
      </c>
      <c r="I16" s="22">
        <f>-H16/(2*(G16+G17+G18+G19))</f>
        <v>26.054818661634201</v>
      </c>
      <c r="J16" s="6">
        <f>E16+I16</f>
        <v>86.054818661634201</v>
      </c>
      <c r="K16" s="6">
        <f t="shared" si="4"/>
        <v>0.74954316811351362</v>
      </c>
      <c r="L16" s="6">
        <f>ABS(K16/J16)</f>
        <v>8.7100662086187428E-3</v>
      </c>
      <c r="M16" s="22">
        <f>K16+K17-K18-K19</f>
        <v>-4.444731338920362</v>
      </c>
      <c r="N16" s="22">
        <f>-M16/(2*(L16+L17+L18+L19))</f>
        <v>5.0824930122400556</v>
      </c>
      <c r="O16" s="6">
        <f>J16+N16</f>
        <v>91.137311673874251</v>
      </c>
      <c r="P16" s="6">
        <f t="shared" si="1"/>
        <v>0.83358593680621706</v>
      </c>
      <c r="Q16" s="6">
        <f>ABS(P16/O16)</f>
        <v>9.1464837122815397E-3</v>
      </c>
      <c r="R16" s="22">
        <f>P16+P17-P18-P19</f>
        <v>-7.892869699807739</v>
      </c>
      <c r="S16" s="22">
        <f>-R16/(2*(Q16+Q17+Q18+Q19))</f>
        <v>6.2451583475736161</v>
      </c>
      <c r="T16" s="6">
        <f>O16+S16</f>
        <v>97.382470021447872</v>
      </c>
      <c r="U16" s="6">
        <f t="shared" si="2"/>
        <v>0.94245236058317561</v>
      </c>
      <c r="V16" s="6">
        <f>ABS(U16/T16)</f>
        <v>9.6778440757931735E-3</v>
      </c>
      <c r="W16" s="22">
        <f>U16+U17-U18-U19</f>
        <v>-0.26687028771508126</v>
      </c>
      <c r="X16" s="22">
        <f>-W16/(2*(V16+V17+V18+V19))</f>
        <v>0.429418530248033</v>
      </c>
    </row>
    <row r="17" spans="1:24" x14ac:dyDescent="0.25">
      <c r="A17" s="28"/>
      <c r="B17" s="5">
        <v>17</v>
      </c>
      <c r="C17" s="6">
        <v>320</v>
      </c>
      <c r="D17" s="5">
        <v>300</v>
      </c>
      <c r="E17" s="6">
        <v>38.53</v>
      </c>
      <c r="F17" s="6">
        <f t="shared" si="3"/>
        <v>0.57099677053231757</v>
      </c>
      <c r="G17" s="6">
        <f t="shared" si="0"/>
        <v>1.4819537257521867E-2</v>
      </c>
      <c r="H17" s="23"/>
      <c r="I17" s="23"/>
      <c r="J17" s="6">
        <f>E17+I16</f>
        <v>64.584818661634202</v>
      </c>
      <c r="K17" s="6">
        <f t="shared" si="4"/>
        <v>1.486262329919122</v>
      </c>
      <c r="L17" s="6">
        <f t="shared" ref="L17:L28" si="11">ABS(K17/J17)</f>
        <v>2.3012564883177683E-2</v>
      </c>
      <c r="M17" s="23"/>
      <c r="N17" s="23"/>
      <c r="O17" s="6">
        <f>J17+N16</f>
        <v>69.667311673874252</v>
      </c>
      <c r="P17" s="6">
        <f t="shared" si="1"/>
        <v>1.7101086041467977</v>
      </c>
      <c r="Q17" s="6">
        <f t="shared" ref="Q17" si="12">ABS(P17/O17)</f>
        <v>2.4546786190805477E-2</v>
      </c>
      <c r="R17" s="23"/>
      <c r="S17" s="23"/>
      <c r="T17" s="6">
        <f>O17+S16</f>
        <v>75.912470021447874</v>
      </c>
      <c r="U17" s="6">
        <f t="shared" si="2"/>
        <v>2.0048126332956802</v>
      </c>
      <c r="V17" s="6">
        <f t="shared" ref="V17" si="13">ABS(U17/T17)</f>
        <v>2.6409529721918571E-2</v>
      </c>
      <c r="W17" s="23"/>
      <c r="X17" s="23"/>
    </row>
    <row r="18" spans="1:24" x14ac:dyDescent="0.25">
      <c r="A18" s="28"/>
      <c r="B18" s="10">
        <v>-13</v>
      </c>
      <c r="C18" s="11">
        <v>1020</v>
      </c>
      <c r="D18" s="10">
        <v>150</v>
      </c>
      <c r="E18" s="11">
        <v>-50</v>
      </c>
      <c r="F18" s="6">
        <f t="shared" si="3"/>
        <v>86.236795014945912</v>
      </c>
      <c r="G18" s="6">
        <f t="shared" si="0"/>
        <v>1.7247359002989182</v>
      </c>
      <c r="H18" s="23"/>
      <c r="I18" s="23"/>
      <c r="J18" s="6">
        <f>E18+I16-I20</f>
        <v>-8.3061582931299078</v>
      </c>
      <c r="K18" s="6">
        <f t="shared" si="4"/>
        <v>3.1040544879780478</v>
      </c>
      <c r="L18" s="6">
        <f>ABS(K18/J18)</f>
        <v>0.37370519299462868</v>
      </c>
      <c r="M18" s="23"/>
      <c r="N18" s="23"/>
      <c r="O18" s="6">
        <f>J18+N16-N20</f>
        <v>-13.646866181863272</v>
      </c>
      <c r="P18" s="6">
        <f t="shared" si="1"/>
        <v>7.7854039563967463</v>
      </c>
      <c r="Q18" s="6">
        <f>ABS(P18/O18)</f>
        <v>0.57049023949128863</v>
      </c>
      <c r="R18" s="23"/>
      <c r="S18" s="23"/>
      <c r="T18" s="6">
        <f>O18+S16-S20</f>
        <v>-5.2012236885535508</v>
      </c>
      <c r="U18" s="6">
        <f t="shared" si="2"/>
        <v>1.3044505029488667</v>
      </c>
      <c r="V18" s="6">
        <f>ABS(U18/T18)</f>
        <v>0.25079684725338769</v>
      </c>
      <c r="W18" s="23"/>
      <c r="X18" s="23"/>
    </row>
    <row r="19" spans="1:24" x14ac:dyDescent="0.25">
      <c r="A19" s="28"/>
      <c r="B19" s="8">
        <v>-9</v>
      </c>
      <c r="C19" s="9">
        <v>1121</v>
      </c>
      <c r="D19" s="8">
        <v>400</v>
      </c>
      <c r="E19" s="9">
        <v>-174.92</v>
      </c>
      <c r="F19" s="6">
        <f t="shared" si="3"/>
        <v>8.1185144915669412</v>
      </c>
      <c r="G19" s="6">
        <f t="shared" si="0"/>
        <v>4.6412728627755209E-2</v>
      </c>
      <c r="H19" s="24"/>
      <c r="I19" s="24"/>
      <c r="J19" s="6">
        <f>E19+I16-I3</f>
        <v>-112.35794463442576</v>
      </c>
      <c r="K19" s="6">
        <f t="shared" si="4"/>
        <v>3.5764823489749498</v>
      </c>
      <c r="L19" s="6">
        <f t="shared" si="11"/>
        <v>3.1831147860630571E-2</v>
      </c>
      <c r="M19" s="24"/>
      <c r="N19" s="24"/>
      <c r="O19" s="6">
        <f>J19+N16-N3</f>
        <v>-95.586937611619959</v>
      </c>
      <c r="P19" s="6">
        <f t="shared" si="1"/>
        <v>2.6511602843640079</v>
      </c>
      <c r="Q19" s="6">
        <f t="shared" ref="Q19:Q28" si="14">ABS(P19/O19)</f>
        <v>2.7735591814186559E-2</v>
      </c>
      <c r="R19" s="24"/>
      <c r="S19" s="24"/>
      <c r="T19" s="6">
        <f>O19+S16-S3</f>
        <v>-80.069770025243798</v>
      </c>
      <c r="U19" s="6">
        <f t="shared" si="2"/>
        <v>1.9096847786450704</v>
      </c>
      <c r="V19" s="6">
        <f t="shared" ref="V19:V28" si="15">ABS(U19/T19)</f>
        <v>2.3850259318129667E-2</v>
      </c>
      <c r="W19" s="24"/>
      <c r="X19" s="24"/>
    </row>
    <row r="20" spans="1:24" x14ac:dyDescent="0.25">
      <c r="A20" s="29">
        <v>5</v>
      </c>
      <c r="B20" s="10">
        <v>13</v>
      </c>
      <c r="C20" s="11">
        <v>1020</v>
      </c>
      <c r="D20" s="10">
        <v>150</v>
      </c>
      <c r="E20" s="11">
        <v>50</v>
      </c>
      <c r="F20" s="6">
        <f t="shared" si="3"/>
        <v>86.236795014945912</v>
      </c>
      <c r="G20" s="6">
        <f t="shared" si="0"/>
        <v>1.7247359002989182</v>
      </c>
      <c r="H20" s="22">
        <f>F20+F21-F22-F23-F24</f>
        <v>62.048325438779898</v>
      </c>
      <c r="I20" s="22">
        <f>-H20/(2*(G20+G21+G22+G23+G24))</f>
        <v>-15.639023045235891</v>
      </c>
      <c r="J20" s="6">
        <f>E20+I20-I16</f>
        <v>8.3061582931299114</v>
      </c>
      <c r="K20" s="6">
        <f>10.67*((ABS(J20)/1000)^1.852)*C20/((100^1.852)*(D20/1000)^4.87)</f>
        <v>3.1040544879780478</v>
      </c>
      <c r="L20" s="6">
        <f t="shared" si="11"/>
        <v>0.37370519299462851</v>
      </c>
      <c r="M20" s="22">
        <f>K20+K21-K22-K23-K24</f>
        <v>-12.345092440237117</v>
      </c>
      <c r="N20" s="22">
        <f>-M20/(2*(L20+L21+L22+L23+L24))</f>
        <v>10.42320090097342</v>
      </c>
      <c r="O20" s="6">
        <f>J20+N20-N16</f>
        <v>13.646866181863276</v>
      </c>
      <c r="P20" s="6">
        <f t="shared" si="1"/>
        <v>7.7854039563967463</v>
      </c>
      <c r="Q20" s="6">
        <f t="shared" si="14"/>
        <v>0.57049023949128852</v>
      </c>
      <c r="R20" s="22">
        <f>P20+P21-P22-P23-P24</f>
        <v>3.2129955575333171</v>
      </c>
      <c r="S20" s="22">
        <f>-R20/(2*(Q20+Q21+Q22+Q23+Q24))</f>
        <v>-2.2004841457361057</v>
      </c>
      <c r="T20" s="6">
        <f>O20+S20-S16</f>
        <v>5.2012236885535543</v>
      </c>
      <c r="U20" s="6">
        <f t="shared" si="2"/>
        <v>1.3044505029488691</v>
      </c>
      <c r="V20" s="6">
        <f t="shared" si="15"/>
        <v>0.25079684725338802</v>
      </c>
      <c r="W20" s="22">
        <f>U20+U21-U22-U23-U24</f>
        <v>-3.4418650040377425</v>
      </c>
      <c r="X20" s="22">
        <f>-W20/(2*(V20+V21+V22+V23+V24))</f>
        <v>4.2103774592771783</v>
      </c>
    </row>
    <row r="21" spans="1:24" x14ac:dyDescent="0.25">
      <c r="A21" s="30"/>
      <c r="B21" s="5">
        <v>18</v>
      </c>
      <c r="C21" s="6">
        <v>651</v>
      </c>
      <c r="D21" s="5">
        <v>300</v>
      </c>
      <c r="E21" s="6">
        <v>60.64</v>
      </c>
      <c r="F21" s="6">
        <f t="shared" si="3"/>
        <v>2.6905119309629342</v>
      </c>
      <c r="G21" s="6">
        <f t="shared" si="0"/>
        <v>4.4368600444639417E-2</v>
      </c>
      <c r="H21" s="23"/>
      <c r="I21" s="23"/>
      <c r="J21" s="6">
        <f>E21+I20</f>
        <v>45.000976954764113</v>
      </c>
      <c r="K21" s="6">
        <f t="shared" si="4"/>
        <v>1.5485738973721637</v>
      </c>
      <c r="L21" s="6">
        <f t="shared" si="11"/>
        <v>3.4412006186639491E-2</v>
      </c>
      <c r="M21" s="23"/>
      <c r="N21" s="23"/>
      <c r="O21" s="6">
        <f>J21+N20</f>
        <v>55.424177855737533</v>
      </c>
      <c r="P21" s="6">
        <f t="shared" si="1"/>
        <v>2.2776968772944497</v>
      </c>
      <c r="Q21" s="6">
        <f t="shared" si="14"/>
        <v>4.109572690862498E-2</v>
      </c>
      <c r="R21" s="23"/>
      <c r="S21" s="23"/>
      <c r="T21" s="6">
        <f>O21+S20</f>
        <v>53.223693710001427</v>
      </c>
      <c r="U21" s="6">
        <f t="shared" si="2"/>
        <v>2.113057806954898</v>
      </c>
      <c r="V21" s="6">
        <f t="shared" si="15"/>
        <v>3.9701449855552337E-2</v>
      </c>
      <c r="W21" s="23"/>
      <c r="X21" s="23"/>
    </row>
    <row r="22" spans="1:24" x14ac:dyDescent="0.25">
      <c r="A22" s="30"/>
      <c r="B22" s="14">
        <f>-15</f>
        <v>-15</v>
      </c>
      <c r="C22" s="15">
        <v>570</v>
      </c>
      <c r="D22" s="14">
        <v>300</v>
      </c>
      <c r="E22" s="15">
        <v>-45.89</v>
      </c>
      <c r="F22" s="6">
        <f t="shared" si="3"/>
        <v>1.4059199948382943</v>
      </c>
      <c r="G22" s="6">
        <f t="shared" si="0"/>
        <v>3.0636739918027768E-2</v>
      </c>
      <c r="H22" s="23"/>
      <c r="I22" s="23"/>
      <c r="J22" s="6">
        <f>E22+I20-I25</f>
        <v>-82.660444997947224</v>
      </c>
      <c r="K22" s="6">
        <f t="shared" si="4"/>
        <v>4.1811348741267809</v>
      </c>
      <c r="L22" s="6">
        <f t="shared" si="11"/>
        <v>5.058205135758239E-2</v>
      </c>
      <c r="M22" s="23"/>
      <c r="N22" s="23"/>
      <c r="O22" s="6">
        <f>J22+N20-N25</f>
        <v>-60.657914826637459</v>
      </c>
      <c r="P22" s="6">
        <f t="shared" si="1"/>
        <v>2.3570368476330659</v>
      </c>
      <c r="Q22" s="6">
        <f t="shared" si="14"/>
        <v>3.8857861408021749E-2</v>
      </c>
      <c r="R22" s="23"/>
      <c r="S22" s="23"/>
      <c r="T22" s="6">
        <f>O22+S20-S25</f>
        <v>-64.898805411891246</v>
      </c>
      <c r="U22" s="6">
        <f t="shared" si="2"/>
        <v>2.6712906145657969</v>
      </c>
      <c r="V22" s="6">
        <f t="shared" si="15"/>
        <v>4.1160859550680468E-2</v>
      </c>
      <c r="W22" s="23"/>
      <c r="X22" s="23"/>
    </row>
    <row r="23" spans="1:24" x14ac:dyDescent="0.25">
      <c r="A23" s="30"/>
      <c r="B23" s="18">
        <v>-14</v>
      </c>
      <c r="C23" s="19">
        <v>460</v>
      </c>
      <c r="D23" s="18">
        <v>500</v>
      </c>
      <c r="E23" s="19">
        <v>-170.68</v>
      </c>
      <c r="F23" s="6">
        <f t="shared" si="3"/>
        <v>1.0738424511606084</v>
      </c>
      <c r="G23" s="6">
        <f t="shared" si="0"/>
        <v>6.2915540846063293E-3</v>
      </c>
      <c r="H23" s="23"/>
      <c r="I23" s="23"/>
      <c r="J23" s="6">
        <f>E23+I20-I11</f>
        <v>-160.79976614466</v>
      </c>
      <c r="K23" s="6">
        <f t="shared" si="4"/>
        <v>0.96156559214541137</v>
      </c>
      <c r="L23" s="6">
        <f t="shared" si="11"/>
        <v>5.9798942199975579E-3</v>
      </c>
      <c r="M23" s="23"/>
      <c r="N23" s="23"/>
      <c r="O23" s="6">
        <f>J23+N20-N11</f>
        <v>-152.35820104117798</v>
      </c>
      <c r="P23" s="6">
        <f t="shared" si="1"/>
        <v>0.87017351040593771</v>
      </c>
      <c r="Q23" s="6">
        <f t="shared" si="14"/>
        <v>5.7113664014105496E-3</v>
      </c>
      <c r="R23" s="23"/>
      <c r="S23" s="23"/>
      <c r="T23" s="6">
        <f>O23+S20-S11</f>
        <v>-146.85211576295313</v>
      </c>
      <c r="U23" s="6">
        <f t="shared" si="2"/>
        <v>0.81283140547928712</v>
      </c>
      <c r="V23" s="6">
        <f t="shared" si="15"/>
        <v>5.5350336715022175E-3</v>
      </c>
      <c r="W23" s="23"/>
      <c r="X23" s="23"/>
    </row>
    <row r="24" spans="1:24" x14ac:dyDescent="0.25">
      <c r="A24" s="31"/>
      <c r="B24" s="20">
        <v>-10</v>
      </c>
      <c r="C24" s="21">
        <v>1300</v>
      </c>
      <c r="D24" s="20">
        <v>300</v>
      </c>
      <c r="E24" s="21">
        <v>-137.28</v>
      </c>
      <c r="F24" s="6">
        <f>10.67*((ABS(E24)/1000)^1.852)*C24/((100^1.852)*(D24/1000)^4.87)</f>
        <v>24.399219061130022</v>
      </c>
      <c r="G24" s="6">
        <f t="shared" si="0"/>
        <v>0.17773323908165808</v>
      </c>
      <c r="H24" s="24"/>
      <c r="I24" s="24"/>
      <c r="J24" s="6">
        <f>E24+I20-I7</f>
        <v>-92.970476225732597</v>
      </c>
      <c r="K24" s="6">
        <f t="shared" si="4"/>
        <v>11.855020359315136</v>
      </c>
      <c r="L24" s="6">
        <f t="shared" si="11"/>
        <v>0.12751381772565207</v>
      </c>
      <c r="M24" s="24"/>
      <c r="N24" s="24"/>
      <c r="O24" s="6">
        <f>J24+N20-N7</f>
        <v>-49.017386193010289</v>
      </c>
      <c r="P24" s="6">
        <f t="shared" si="1"/>
        <v>3.6228949181188761</v>
      </c>
      <c r="Q24" s="6">
        <f t="shared" si="14"/>
        <v>7.3910406072110968E-2</v>
      </c>
      <c r="R24" s="24"/>
      <c r="S24" s="24"/>
      <c r="T24" s="6">
        <f>O24+S20-S7</f>
        <v>-47.178777138974922</v>
      </c>
      <c r="U24" s="6">
        <f t="shared" si="2"/>
        <v>3.3752512938964259</v>
      </c>
      <c r="V24" s="6">
        <f t="shared" si="15"/>
        <v>7.1541729111670685E-2</v>
      </c>
      <c r="W24" s="24"/>
      <c r="X24" s="24"/>
    </row>
    <row r="25" spans="1:24" x14ac:dyDescent="0.25">
      <c r="A25" s="28">
        <v>6</v>
      </c>
      <c r="B25" s="14">
        <v>15</v>
      </c>
      <c r="C25" s="15">
        <v>570</v>
      </c>
      <c r="D25" s="14">
        <v>300</v>
      </c>
      <c r="E25" s="15">
        <v>45.89</v>
      </c>
      <c r="F25" s="6">
        <f>10.67*((ABS(E25)/1000)^1.852)*C25/((100^1.852)*(D25/1000)^4.87)</f>
        <v>1.4059199948382943</v>
      </c>
      <c r="G25" s="6">
        <f t="shared" si="0"/>
        <v>3.0636739918027768E-2</v>
      </c>
      <c r="H25" s="22">
        <f>F25+F26-F27-F28</f>
        <v>-39.214262023336588</v>
      </c>
      <c r="I25" s="22">
        <f>-H25/(2*(G25+G26+G27+G28))</f>
        <v>21.131421952711339</v>
      </c>
      <c r="J25" s="6">
        <f>E25+I25-I20</f>
        <v>82.660444997947224</v>
      </c>
      <c r="K25" s="6">
        <f t="shared" si="4"/>
        <v>4.1811348741267809</v>
      </c>
      <c r="L25" s="6">
        <f t="shared" si="11"/>
        <v>5.058205135758239E-2</v>
      </c>
      <c r="M25" s="22">
        <f>K25+K26-K27-K28</f>
        <v>10.61311304051522</v>
      </c>
      <c r="N25" s="22">
        <f>-M25/(2*(L25+L26+L27+L28))</f>
        <v>-11.579329270336338</v>
      </c>
      <c r="O25" s="6">
        <f>J25+N25-N20</f>
        <v>60.657914826637473</v>
      </c>
      <c r="P25" s="6">
        <f t="shared" si="1"/>
        <v>2.3570368476330681</v>
      </c>
      <c r="Q25" s="6">
        <f t="shared" si="14"/>
        <v>3.8857861408021777E-2</v>
      </c>
      <c r="R25" s="22">
        <f>P25+P26-P27-P28</f>
        <v>-2.3967087836995393</v>
      </c>
      <c r="S25" s="22">
        <f>-R25/(2*(Q25+Q26+Q27+Q28))</f>
        <v>2.0404064395176826</v>
      </c>
      <c r="T25" s="6">
        <f>O25+S25-S20</f>
        <v>64.89880541189126</v>
      </c>
      <c r="U25" s="6">
        <f t="shared" si="2"/>
        <v>2.6712906145657995</v>
      </c>
      <c r="V25" s="6">
        <f t="shared" si="15"/>
        <v>4.1160859550680495E-2</v>
      </c>
      <c r="W25" s="22">
        <f>U25+U26-U27-U28</f>
        <v>3.535501292737619</v>
      </c>
      <c r="X25" s="22">
        <f>-W25/(2*(V25+V26+V27+V28))</f>
        <v>-3.7737333657337619</v>
      </c>
    </row>
    <row r="26" spans="1:24" x14ac:dyDescent="0.25">
      <c r="A26" s="28"/>
      <c r="B26" s="5">
        <v>19</v>
      </c>
      <c r="C26" s="6">
        <v>791</v>
      </c>
      <c r="D26" s="5">
        <v>200</v>
      </c>
      <c r="E26" s="6">
        <v>12.5</v>
      </c>
      <c r="F26" s="6">
        <f t="shared" si="3"/>
        <v>1.2641603600039</v>
      </c>
      <c r="G26" s="6">
        <f t="shared" si="0"/>
        <v>0.10113282880031199</v>
      </c>
      <c r="H26" s="23"/>
      <c r="I26" s="23"/>
      <c r="J26" s="6">
        <f>E26+I25</f>
        <v>33.631421952711335</v>
      </c>
      <c r="K26" s="6">
        <f t="shared" si="4"/>
        <v>7.9041830576927188</v>
      </c>
      <c r="L26" s="6">
        <f t="shared" si="11"/>
        <v>0.23502375453546623</v>
      </c>
      <c r="M26" s="23"/>
      <c r="N26" s="23"/>
      <c r="O26" s="6">
        <f>J26+N25</f>
        <v>22.052092682374997</v>
      </c>
      <c r="P26" s="6">
        <f t="shared" si="1"/>
        <v>3.6173778126472227</v>
      </c>
      <c r="Q26" s="6">
        <f t="shared" si="14"/>
        <v>0.16403784732586355</v>
      </c>
      <c r="R26" s="23"/>
      <c r="S26" s="23"/>
      <c r="T26" s="6">
        <f>O26+S25</f>
        <v>24.092499121892679</v>
      </c>
      <c r="U26" s="6">
        <f t="shared" si="2"/>
        <v>4.2615737986643039</v>
      </c>
      <c r="V26" s="6">
        <f t="shared" si="15"/>
        <v>0.17688384160993256</v>
      </c>
      <c r="W26" s="23"/>
      <c r="X26" s="23"/>
    </row>
    <row r="27" spans="1:24" x14ac:dyDescent="0.25">
      <c r="A27" s="28"/>
      <c r="B27" s="5">
        <v>-16</v>
      </c>
      <c r="C27" s="6">
        <v>284</v>
      </c>
      <c r="D27" s="5">
        <v>200</v>
      </c>
      <c r="E27" s="6">
        <v>-30.55</v>
      </c>
      <c r="F27" s="6">
        <f t="shared" si="3"/>
        <v>2.3752397355293104</v>
      </c>
      <c r="G27" s="6">
        <f t="shared" si="0"/>
        <v>7.7749254845476609E-2</v>
      </c>
      <c r="H27" s="23"/>
      <c r="I27" s="23"/>
      <c r="J27" s="6">
        <f>E27+I25</f>
        <v>-9.418578047288662</v>
      </c>
      <c r="K27" s="6">
        <f t="shared" si="4"/>
        <v>0.26871229118300488</v>
      </c>
      <c r="L27" s="6">
        <f t="shared" si="11"/>
        <v>2.8530027551277704E-2</v>
      </c>
      <c r="M27" s="23"/>
      <c r="N27" s="23"/>
      <c r="O27" s="6">
        <f>J27+N25</f>
        <v>-20.997907317625</v>
      </c>
      <c r="P27" s="6">
        <f t="shared" si="1"/>
        <v>1.1861419325352716</v>
      </c>
      <c r="Q27" s="6">
        <f t="shared" si="14"/>
        <v>5.6488578342264631E-2</v>
      </c>
      <c r="R27" s="23"/>
      <c r="S27" s="23"/>
      <c r="T27" s="6">
        <f>O27+S25</f>
        <v>-18.957500878107318</v>
      </c>
      <c r="U27" s="6">
        <f t="shared" si="2"/>
        <v>0.98156089872699814</v>
      </c>
      <c r="V27" s="6">
        <f t="shared" si="15"/>
        <v>5.1776914322105273E-2</v>
      </c>
      <c r="W27" s="23"/>
      <c r="X27" s="23"/>
    </row>
    <row r="28" spans="1:24" x14ac:dyDescent="0.25">
      <c r="A28" s="28"/>
      <c r="B28" s="16">
        <v>-11</v>
      </c>
      <c r="C28" s="17">
        <v>1590</v>
      </c>
      <c r="D28" s="16">
        <v>200</v>
      </c>
      <c r="E28" s="17">
        <v>-55</v>
      </c>
      <c r="F28" s="6">
        <f t="shared" si="3"/>
        <v>39.509102642649474</v>
      </c>
      <c r="G28" s="6">
        <f t="shared" si="0"/>
        <v>0.71834732077544494</v>
      </c>
      <c r="H28" s="24"/>
      <c r="I28" s="24"/>
      <c r="J28" s="6">
        <f>E28+I25-I11</f>
        <v>-8.3493211467127573</v>
      </c>
      <c r="K28" s="6">
        <f t="shared" si="4"/>
        <v>1.2034926001212736</v>
      </c>
      <c r="L28" s="6">
        <f t="shared" si="11"/>
        <v>0.14414256907522419</v>
      </c>
      <c r="M28" s="24"/>
      <c r="N28" s="24"/>
      <c r="O28" s="6">
        <f>J28+N25-N11</f>
        <v>-21.910286214540509</v>
      </c>
      <c r="P28" s="6">
        <f t="shared" si="1"/>
        <v>7.1849815114445583</v>
      </c>
      <c r="Q28" s="6">
        <f t="shared" si="14"/>
        <v>0.32792732331704222</v>
      </c>
      <c r="R28" s="24"/>
      <c r="S28" s="24"/>
      <c r="T28" s="6">
        <f>O28+S25-S11</f>
        <v>-12.163310351061881</v>
      </c>
      <c r="U28" s="6">
        <f t="shared" si="2"/>
        <v>2.4158022217654853</v>
      </c>
      <c r="V28" s="6">
        <f t="shared" si="15"/>
        <v>0.19861387665361849</v>
      </c>
      <c r="W28" s="24"/>
      <c r="X28" s="24"/>
    </row>
    <row r="29" spans="1:24" x14ac:dyDescent="0.25">
      <c r="A29" s="7"/>
      <c r="B29" s="7"/>
      <c r="C29" s="7"/>
      <c r="D29" s="7"/>
      <c r="E29" s="7"/>
      <c r="F29" s="7"/>
      <c r="G29" s="7"/>
    </row>
    <row r="31" spans="1:24" x14ac:dyDescent="0.25">
      <c r="A31" s="32" t="s">
        <v>0</v>
      </c>
      <c r="B31" s="33" t="s">
        <v>1</v>
      </c>
      <c r="C31" s="34" t="s">
        <v>2</v>
      </c>
      <c r="D31" s="34" t="s">
        <v>3</v>
      </c>
      <c r="E31" s="25" t="s">
        <v>12</v>
      </c>
      <c r="F31" s="25"/>
      <c r="G31" s="25"/>
      <c r="H31" s="26" t="s">
        <v>5</v>
      </c>
      <c r="I31" s="26" t="s">
        <v>6</v>
      </c>
      <c r="J31" s="25" t="s">
        <v>14</v>
      </c>
      <c r="K31" s="25"/>
      <c r="L31" s="25"/>
      <c r="M31" s="26" t="s">
        <v>5</v>
      </c>
      <c r="N31" s="26" t="s">
        <v>6</v>
      </c>
      <c r="O31" s="25" t="s">
        <v>15</v>
      </c>
      <c r="P31" s="25"/>
      <c r="Q31" s="25"/>
      <c r="R31" s="26" t="s">
        <v>5</v>
      </c>
      <c r="S31" s="26" t="s">
        <v>6</v>
      </c>
      <c r="T31" s="25" t="s">
        <v>16</v>
      </c>
      <c r="U31" s="25"/>
      <c r="V31" s="25"/>
      <c r="W31" s="26" t="s">
        <v>5</v>
      </c>
      <c r="X31" s="26" t="s">
        <v>6</v>
      </c>
    </row>
    <row r="32" spans="1:24" x14ac:dyDescent="0.25">
      <c r="A32" s="32"/>
      <c r="B32" s="33"/>
      <c r="C32" s="35"/>
      <c r="D32" s="35"/>
      <c r="E32" s="1" t="s">
        <v>7</v>
      </c>
      <c r="F32" s="1" t="s">
        <v>8</v>
      </c>
      <c r="G32" s="2" t="s">
        <v>9</v>
      </c>
      <c r="H32" s="27"/>
      <c r="I32" s="27"/>
      <c r="J32" s="1" t="s">
        <v>7</v>
      </c>
      <c r="K32" s="1" t="s">
        <v>8</v>
      </c>
      <c r="L32" s="2" t="s">
        <v>9</v>
      </c>
      <c r="M32" s="27"/>
      <c r="N32" s="27"/>
      <c r="O32" s="1" t="s">
        <v>7</v>
      </c>
      <c r="P32" s="1" t="s">
        <v>8</v>
      </c>
      <c r="Q32" s="2" t="s">
        <v>9</v>
      </c>
      <c r="R32" s="27"/>
      <c r="S32" s="27"/>
      <c r="T32" s="1" t="s">
        <v>7</v>
      </c>
      <c r="U32" s="1" t="s">
        <v>8</v>
      </c>
      <c r="V32" s="2" t="s">
        <v>9</v>
      </c>
      <c r="W32" s="27"/>
      <c r="X32" s="27"/>
    </row>
    <row r="33" spans="1:24" x14ac:dyDescent="0.25">
      <c r="A33" s="28">
        <v>1</v>
      </c>
      <c r="B33" s="5">
        <v>5</v>
      </c>
      <c r="C33" s="6">
        <v>847</v>
      </c>
      <c r="D33" s="6">
        <v>600</v>
      </c>
      <c r="E33" s="6">
        <v>249.11224004669168</v>
      </c>
      <c r="F33" s="6">
        <v>1.6389847188498916</v>
      </c>
      <c r="G33" s="6">
        <v>6.5793022395956658E-3</v>
      </c>
      <c r="H33" s="22">
        <f>F33+F34-F35-F36</f>
        <v>-7.2370271435338251E-2</v>
      </c>
      <c r="I33" s="22">
        <f>-H33/(2*(G33+G34+G35+G36))</f>
        <v>0.71922569470226727</v>
      </c>
      <c r="J33" s="6">
        <f>E33+I33</f>
        <v>249.83146574139394</v>
      </c>
      <c r="K33" s="6">
        <f>10.67*((ABS(J33)/1000)^1.852)*C33/((100^1.852)*(D33/1000)^4.87)</f>
        <v>1.6477591659706599</v>
      </c>
      <c r="L33" s="6">
        <f>ABS(K33/J33)</f>
        <v>6.5954829231810687E-3</v>
      </c>
      <c r="M33" s="22">
        <f>K33+K34-K35-K36</f>
        <v>8.8977342407319249E-2</v>
      </c>
      <c r="N33" s="22">
        <f>-M33/(2*(L33+L34+L35+L36))</f>
        <v>-0.89303067352912158</v>
      </c>
      <c r="O33" s="6">
        <f>J33+N33</f>
        <v>248.93843506786482</v>
      </c>
      <c r="P33" s="6">
        <f>10.67*((ABS(O33)/1000)^1.852)*C33/((100^1.852)*(D33/1000)^4.87)</f>
        <v>1.6368675576385434</v>
      </c>
      <c r="Q33" s="6">
        <f>ABS(P33/O33)</f>
        <v>6.5753910487639476E-3</v>
      </c>
      <c r="R33" s="22">
        <f>P33+P34-P35-P36</f>
        <v>-0.18306331191028624</v>
      </c>
      <c r="S33" s="22">
        <f>-R33/(2*(Q33+Q34+Q35+Q36))</f>
        <v>1.8569317055651908</v>
      </c>
      <c r="T33" s="6">
        <f>O33+S33</f>
        <v>250.79536677343</v>
      </c>
      <c r="U33" s="6">
        <f>10.67*((ABS(T33)/1000)^1.852)*C33/((100^1.852)*(D33/1000)^4.87)</f>
        <v>1.659552405263846</v>
      </c>
      <c r="V33" s="6">
        <f>ABS(U33/T33)</f>
        <v>6.6171573526838529E-3</v>
      </c>
      <c r="W33" s="22">
        <f>U33+U34-U35-U36</f>
        <v>2.9190948495558811E-3</v>
      </c>
      <c r="X33" s="22">
        <f>-W33/(2*(V33+V34+V35+V36))</f>
        <v>-2.951834490473992E-2</v>
      </c>
    </row>
    <row r="34" spans="1:24" x14ac:dyDescent="0.25">
      <c r="A34" s="28"/>
      <c r="B34" s="8">
        <v>9</v>
      </c>
      <c r="C34" s="9">
        <v>1121</v>
      </c>
      <c r="D34" s="9">
        <v>400</v>
      </c>
      <c r="E34" s="6">
        <v>80.069770025243784</v>
      </c>
      <c r="F34" s="6">
        <v>1.9096847786450704</v>
      </c>
      <c r="G34" s="6">
        <v>2.3850259318129671E-2</v>
      </c>
      <c r="H34" s="23"/>
      <c r="I34" s="23"/>
      <c r="J34" s="6">
        <f>E34+I33-I46</f>
        <v>80.35957718969803</v>
      </c>
      <c r="K34" s="6">
        <f t="shared" ref="K34:K58" si="16">10.67*((ABS(J34)/1000)^1.852)*C34/((100^1.852)*(D34/1000)^4.87)</f>
        <v>1.9225054922762059</v>
      </c>
      <c r="L34" s="6">
        <f>ABS(K34/J34)</f>
        <v>2.3923788047539255E-2</v>
      </c>
      <c r="M34" s="23"/>
      <c r="N34" s="23"/>
      <c r="O34" s="6">
        <f>J34+N33-N46</f>
        <v>76.709439127838863</v>
      </c>
      <c r="P34" s="6">
        <f t="shared" ref="P34:P58" si="17">10.67*((ABS(O34)/1000)^1.852)*C34/((100^1.852)*(D34/1000)^4.87)</f>
        <v>1.7639158613053987</v>
      </c>
      <c r="Q34" s="6">
        <f>ABS(P34/O34)</f>
        <v>2.2994769370765097E-2</v>
      </c>
      <c r="R34" s="23"/>
      <c r="S34" s="23"/>
      <c r="T34" s="6">
        <f>O34+S33-S46</f>
        <v>78.474593413494631</v>
      </c>
      <c r="U34" s="6">
        <f t="shared" ref="U34:U58" si="18">10.67*((ABS(T34)/1000)^1.852)*C34/((100^1.852)*(D34/1000)^4.87)</f>
        <v>1.8398233219399571</v>
      </c>
      <c r="V34" s="6">
        <f>ABS(U34/T34)</f>
        <v>2.3444827706792272E-2</v>
      </c>
      <c r="W34" s="23"/>
      <c r="X34" s="23"/>
    </row>
    <row r="35" spans="1:24" x14ac:dyDescent="0.25">
      <c r="A35" s="28"/>
      <c r="B35" s="3">
        <v>-6</v>
      </c>
      <c r="C35" s="4">
        <v>1075</v>
      </c>
      <c r="D35" s="4">
        <v>450</v>
      </c>
      <c r="E35" s="6">
        <v>-109.8502308022847</v>
      </c>
      <c r="F35" s="6">
        <v>1.853494684781317</v>
      </c>
      <c r="G35" s="6">
        <v>1.6872924810848622E-2</v>
      </c>
      <c r="H35" s="23"/>
      <c r="I35" s="23"/>
      <c r="J35" s="6">
        <f>E35+I33-I37</f>
        <v>-105.43022983834427</v>
      </c>
      <c r="K35" s="6">
        <f t="shared" si="16"/>
        <v>1.7177478177113428</v>
      </c>
      <c r="L35" s="6">
        <f t="shared" ref="L35" si="19">ABS(K35/J35)</f>
        <v>1.629274469329298E-2</v>
      </c>
      <c r="M35" s="23"/>
      <c r="N35" s="23"/>
      <c r="O35" s="6">
        <f>J35+N33-N37</f>
        <v>-108.62316357567417</v>
      </c>
      <c r="P35" s="6">
        <f t="shared" si="17"/>
        <v>1.8153330468731108</v>
      </c>
      <c r="Q35" s="6">
        <f t="shared" ref="Q35" si="20">ABS(P35/O35)</f>
        <v>1.6712209321802972E-2</v>
      </c>
      <c r="R35" s="23"/>
      <c r="S35" s="23"/>
      <c r="T35" s="6">
        <f>O35+S33-S37</f>
        <v>-106.10878709111748</v>
      </c>
      <c r="U35" s="6">
        <f t="shared" si="18"/>
        <v>1.7382788346355642</v>
      </c>
      <c r="V35" s="6">
        <f t="shared" ref="V35" si="21">ABS(U35/T35)</f>
        <v>1.6382044148171005E-2</v>
      </c>
      <c r="W35" s="23"/>
      <c r="X35" s="23"/>
    </row>
    <row r="36" spans="1:24" x14ac:dyDescent="0.25">
      <c r="A36" s="28"/>
      <c r="B36" s="5">
        <v>-2</v>
      </c>
      <c r="C36" s="6">
        <v>757</v>
      </c>
      <c r="D36" s="6">
        <v>800</v>
      </c>
      <c r="E36" s="6">
        <v>-587.46775995330836</v>
      </c>
      <c r="F36" s="6">
        <v>1.7675450841489833</v>
      </c>
      <c r="G36" s="6">
        <v>3.0087524876079444E-3</v>
      </c>
      <c r="H36" s="24"/>
      <c r="I36" s="24"/>
      <c r="J36" s="6">
        <f>E36+I33</f>
        <v>-586.74853425860613</v>
      </c>
      <c r="K36" s="6">
        <f t="shared" si="16"/>
        <v>1.7635394981282038</v>
      </c>
      <c r="L36" s="6">
        <f>ABS(K36/J36)</f>
        <v>3.0056138109600008E-3</v>
      </c>
      <c r="M36" s="24"/>
      <c r="N36" s="24"/>
      <c r="O36" s="6">
        <f>J36+N33</f>
        <v>-587.64156493213522</v>
      </c>
      <c r="P36" s="6">
        <f t="shared" si="17"/>
        <v>1.7685136839811177</v>
      </c>
      <c r="Q36" s="6">
        <f>ABS(P36/O36)</f>
        <v>3.0095108813233073E-3</v>
      </c>
      <c r="R36" s="24"/>
      <c r="S36" s="24"/>
      <c r="T36" s="6">
        <f>O36+S33</f>
        <v>-585.78463322657001</v>
      </c>
      <c r="U36" s="6">
        <f t="shared" si="18"/>
        <v>1.758177797718683</v>
      </c>
      <c r="V36" s="6">
        <f>ABS(U36/T36)</f>
        <v>3.0014064862617425E-3</v>
      </c>
      <c r="W36" s="24"/>
      <c r="X36" s="24"/>
    </row>
    <row r="37" spans="1:24" x14ac:dyDescent="0.25">
      <c r="A37" s="28">
        <v>2</v>
      </c>
      <c r="B37" s="3">
        <v>6</v>
      </c>
      <c r="C37" s="4">
        <v>1075</v>
      </c>
      <c r="D37" s="4">
        <v>450</v>
      </c>
      <c r="E37" s="6">
        <v>109.85023080228468</v>
      </c>
      <c r="F37" s="6">
        <v>1.853494684781317</v>
      </c>
      <c r="G37" s="6">
        <v>1.6872924810848625E-2</v>
      </c>
      <c r="H37" s="22">
        <f>F37+F38-F39-F40</f>
        <v>0.7749585036577904</v>
      </c>
      <c r="I37" s="22">
        <f>-H37/(2*(G37+G38+G39+G40))</f>
        <v>-3.7007752692381484</v>
      </c>
      <c r="J37" s="6">
        <f>E37+I37-I33</f>
        <v>105.43022983834426</v>
      </c>
      <c r="K37" s="6">
        <f t="shared" si="16"/>
        <v>1.7177478177113428</v>
      </c>
      <c r="L37" s="6">
        <f t="shared" ref="L37:L45" si="22">ABS(K37/J37)</f>
        <v>1.629274469329298E-2</v>
      </c>
      <c r="M37" s="22">
        <f>K37+K38-K39-K40</f>
        <v>-0.43212841942912616</v>
      </c>
      <c r="N37" s="22">
        <f>-M37/(2*(L37+L38+L39+L40))</f>
        <v>2.2999030638007691</v>
      </c>
      <c r="O37" s="6">
        <f>J37+N37-N33</f>
        <v>108.62316357567416</v>
      </c>
      <c r="P37" s="6">
        <f t="shared" si="17"/>
        <v>1.815333046873109</v>
      </c>
      <c r="Q37" s="6">
        <f t="shared" ref="Q37:Q45" si="23">ABS(P37/O37)</f>
        <v>1.6712209321802958E-2</v>
      </c>
      <c r="R37" s="22">
        <f>P37+P38-P39-P40</f>
        <v>0.12896644754564202</v>
      </c>
      <c r="S37" s="22">
        <f>-R37/(2*(Q37+Q38+Q39+Q40))</f>
        <v>-0.65744477899150666</v>
      </c>
      <c r="T37" s="6">
        <f>O37+S37-S33</f>
        <v>106.10878709111746</v>
      </c>
      <c r="U37" s="6">
        <f t="shared" si="18"/>
        <v>1.7382788346355642</v>
      </c>
      <c r="V37" s="6">
        <f t="shared" ref="V37:V43" si="24">ABS(U37/T37)</f>
        <v>1.6382044148171009E-2</v>
      </c>
      <c r="W37" s="22">
        <f>U37+U38-U39-U40</f>
        <v>-0.28967644409036897</v>
      </c>
      <c r="X37" s="22">
        <f>-W37/(2*(V37+V38+V39+V40))</f>
        <v>1.5399581121525701</v>
      </c>
    </row>
    <row r="38" spans="1:24" x14ac:dyDescent="0.25">
      <c r="A38" s="28"/>
      <c r="B38" s="20">
        <v>10</v>
      </c>
      <c r="C38" s="21">
        <v>1300</v>
      </c>
      <c r="D38" s="21">
        <v>300</v>
      </c>
      <c r="E38" s="6">
        <v>47.17877713897493</v>
      </c>
      <c r="F38" s="6">
        <v>3.3752512938964259</v>
      </c>
      <c r="G38" s="6">
        <v>7.1541729111670685E-2</v>
      </c>
      <c r="H38" s="23"/>
      <c r="I38" s="23"/>
      <c r="J38" s="6">
        <f>E38+I37-I50</f>
        <v>39.267624410459604</v>
      </c>
      <c r="K38" s="6">
        <f t="shared" si="16"/>
        <v>2.4025884944959288</v>
      </c>
      <c r="L38" s="6">
        <f t="shared" si="22"/>
        <v>6.1184971858291443E-2</v>
      </c>
      <c r="M38" s="23"/>
      <c r="N38" s="23"/>
      <c r="O38" s="6">
        <f>J38+N37-N50</f>
        <v>42.266330179555077</v>
      </c>
      <c r="P38" s="6">
        <f t="shared" si="17"/>
        <v>2.7533990096279268</v>
      </c>
      <c r="Q38" s="6">
        <f t="shared" si="23"/>
        <v>6.5144028306479071E-2</v>
      </c>
      <c r="R38" s="23"/>
      <c r="S38" s="23"/>
      <c r="T38" s="6">
        <f>O38+S37-S50</f>
        <v>39.45131653248842</v>
      </c>
      <c r="U38" s="6">
        <f t="shared" si="18"/>
        <v>2.4234449586565399</v>
      </c>
      <c r="V38" s="6">
        <f t="shared" si="24"/>
        <v>6.1428747419894514E-2</v>
      </c>
      <c r="W38" s="23"/>
      <c r="X38" s="23"/>
    </row>
    <row r="39" spans="1:24" x14ac:dyDescent="0.25">
      <c r="A39" s="28"/>
      <c r="B39" s="12">
        <v>-7</v>
      </c>
      <c r="C39" s="13">
        <v>600</v>
      </c>
      <c r="D39" s="13">
        <v>500</v>
      </c>
      <c r="E39" s="6">
        <v>-181.55333862397822</v>
      </c>
      <c r="F39" s="6">
        <v>1.570390287317363</v>
      </c>
      <c r="G39" s="6">
        <v>8.6497461254064611E-3</v>
      </c>
      <c r="H39" s="23"/>
      <c r="I39" s="23"/>
      <c r="J39" s="6">
        <f>E39+I37-I41</f>
        <v>-184.41260798726574</v>
      </c>
      <c r="K39" s="6">
        <f t="shared" si="16"/>
        <v>1.6165009267002268</v>
      </c>
      <c r="L39" s="6">
        <f t="shared" si="22"/>
        <v>8.7656746702039542E-3</v>
      </c>
      <c r="M39" s="23"/>
      <c r="N39" s="23"/>
      <c r="O39" s="6">
        <f>J39+N37-N41</f>
        <v>-179.42849480043628</v>
      </c>
      <c r="P39" s="6">
        <f t="shared" si="17"/>
        <v>1.5365215201541853</v>
      </c>
      <c r="Q39" s="6">
        <f t="shared" si="23"/>
        <v>8.5634197726684007E-3</v>
      </c>
      <c r="R39" s="23"/>
      <c r="S39" s="23"/>
      <c r="T39" s="6">
        <f>O39+S37-S41</f>
        <v>-179.57338492550792</v>
      </c>
      <c r="U39" s="6">
        <f t="shared" si="18"/>
        <v>1.5388201887795685</v>
      </c>
      <c r="V39" s="6">
        <f t="shared" si="24"/>
        <v>8.5693110335805841E-3</v>
      </c>
      <c r="W39" s="23"/>
      <c r="X39" s="23"/>
    </row>
    <row r="40" spans="1:24" x14ac:dyDescent="0.25">
      <c r="A40" s="28"/>
      <c r="B40" s="5">
        <v>-3</v>
      </c>
      <c r="C40" s="6">
        <v>690</v>
      </c>
      <c r="D40" s="6">
        <v>600</v>
      </c>
      <c r="E40" s="6">
        <v>-377.51752915102361</v>
      </c>
      <c r="F40" s="6">
        <v>2.8833971877025899</v>
      </c>
      <c r="G40" s="6">
        <v>7.6377835863327666E-3</v>
      </c>
      <c r="H40" s="24"/>
      <c r="I40" s="24"/>
      <c r="J40" s="6">
        <f>E40+I37</f>
        <v>-381.21830442026175</v>
      </c>
      <c r="K40" s="6">
        <f t="shared" si="16"/>
        <v>2.9359638049361707</v>
      </c>
      <c r="L40" s="6">
        <f t="shared" si="22"/>
        <v>7.7015289425859069E-3</v>
      </c>
      <c r="M40" s="24"/>
      <c r="N40" s="24"/>
      <c r="O40" s="6">
        <f>J40+N37</f>
        <v>-378.918401356461</v>
      </c>
      <c r="P40" s="6">
        <f t="shared" si="17"/>
        <v>2.9032440888012085</v>
      </c>
      <c r="Q40" s="6">
        <f t="shared" si="23"/>
        <v>7.6619242517864195E-3</v>
      </c>
      <c r="R40" s="24"/>
      <c r="S40" s="24"/>
      <c r="T40" s="6">
        <f>O40+S37</f>
        <v>-379.57584613545254</v>
      </c>
      <c r="U40" s="6">
        <f t="shared" si="18"/>
        <v>2.912580048602905</v>
      </c>
      <c r="V40" s="6">
        <f t="shared" si="24"/>
        <v>7.673249176038309E-3</v>
      </c>
      <c r="W40" s="24"/>
      <c r="X40" s="24"/>
    </row>
    <row r="41" spans="1:24" x14ac:dyDescent="0.25">
      <c r="A41" s="28">
        <v>3</v>
      </c>
      <c r="B41" s="12">
        <v>7</v>
      </c>
      <c r="C41" s="13">
        <v>600</v>
      </c>
      <c r="D41" s="13">
        <v>500</v>
      </c>
      <c r="E41" s="6">
        <v>181.55333862397819</v>
      </c>
      <c r="F41" s="6">
        <v>1.5703902873173621</v>
      </c>
      <c r="G41" s="6">
        <v>8.6497461254064576E-3</v>
      </c>
      <c r="H41" s="22">
        <f>F41+F42+F43-F44-F45</f>
        <v>0.41673080654913885</v>
      </c>
      <c r="I41" s="22">
        <f>-H41/(2*(G41+G42+G43+G44+G45))</f>
        <v>-0.84150590595061026</v>
      </c>
      <c r="J41" s="6">
        <f>E41+I41-I37</f>
        <v>184.41260798726572</v>
      </c>
      <c r="K41" s="6">
        <f t="shared" si="16"/>
        <v>1.6165009267002268</v>
      </c>
      <c r="L41" s="6">
        <f t="shared" si="22"/>
        <v>8.7656746702039559E-3</v>
      </c>
      <c r="M41" s="22">
        <f>K41+K42+K43-K44-K45</f>
        <v>1.5455076862207227</v>
      </c>
      <c r="N41" s="22">
        <f>-M41/(2*(L41+L42+L43+L44+L45))</f>
        <v>-2.684210123028699</v>
      </c>
      <c r="O41" s="6">
        <f>J41+N41-N37</f>
        <v>179.42849480043625</v>
      </c>
      <c r="P41" s="6">
        <f t="shared" si="17"/>
        <v>1.5365215201541853</v>
      </c>
      <c r="Q41" s="6">
        <f t="shared" si="23"/>
        <v>8.5634197726684024E-3</v>
      </c>
      <c r="R41" s="22">
        <f>P41+P42+P43-P44-P45</f>
        <v>0.26116877247664849</v>
      </c>
      <c r="S41" s="22">
        <f>-R41/(2*(Q41+Q42+Q43+Q44+Q45))</f>
        <v>-0.51255465391985322</v>
      </c>
      <c r="T41" s="6">
        <f>O41+S41-S37</f>
        <v>179.5733849255079</v>
      </c>
      <c r="U41" s="6">
        <f t="shared" si="18"/>
        <v>1.5388201887795683</v>
      </c>
      <c r="V41" s="6">
        <f t="shared" si="24"/>
        <v>8.5693110335805841E-3</v>
      </c>
      <c r="W41" s="22">
        <f>U41+U42+U43-U44-U45</f>
        <v>0.50782510727595609</v>
      </c>
      <c r="X41" s="22">
        <f>-W41/(2*(V41+V42+V43+V44+V45))</f>
        <v>-0.95616054364914826</v>
      </c>
    </row>
    <row r="42" spans="1:24" x14ac:dyDescent="0.25">
      <c r="A42" s="28"/>
      <c r="B42" s="18">
        <v>14</v>
      </c>
      <c r="C42" s="19">
        <v>460</v>
      </c>
      <c r="D42" s="19">
        <v>500</v>
      </c>
      <c r="E42" s="6">
        <v>146.85211576295313</v>
      </c>
      <c r="F42" s="6">
        <v>0.81283140547928712</v>
      </c>
      <c r="G42" s="6">
        <v>5.5350336715022175E-3</v>
      </c>
      <c r="H42" s="23"/>
      <c r="I42" s="23"/>
      <c r="J42" s="6">
        <f>E42+I41-I50</f>
        <v>141.80023239772535</v>
      </c>
      <c r="K42" s="6">
        <f t="shared" si="16"/>
        <v>0.76180536652558217</v>
      </c>
      <c r="L42" s="6">
        <f t="shared" si="22"/>
        <v>5.3723844710553692E-3</v>
      </c>
      <c r="M42" s="23"/>
      <c r="N42" s="23"/>
      <c r="O42" s="6">
        <f>J42+N41-N50</f>
        <v>139.81482497999136</v>
      </c>
      <c r="P42" s="6">
        <f t="shared" si="17"/>
        <v>0.74216915302813879</v>
      </c>
      <c r="Q42" s="6">
        <f t="shared" si="23"/>
        <v>5.3082293178448653E-3</v>
      </c>
      <c r="R42" s="23"/>
      <c r="S42" s="23"/>
      <c r="T42" s="6">
        <f>O42+S41-S50</f>
        <v>137.14470145799635</v>
      </c>
      <c r="U42" s="6">
        <f t="shared" si="18"/>
        <v>0.71613335135292211</v>
      </c>
      <c r="V42" s="6">
        <f t="shared" si="24"/>
        <v>5.2217354643646517E-3</v>
      </c>
      <c r="W42" s="23"/>
      <c r="X42" s="23"/>
    </row>
    <row r="43" spans="1:24" x14ac:dyDescent="0.25">
      <c r="A43" s="28"/>
      <c r="B43" s="16">
        <v>11</v>
      </c>
      <c r="C43" s="17">
        <v>1590</v>
      </c>
      <c r="D43" s="17">
        <v>200</v>
      </c>
      <c r="E43" s="6">
        <v>12.163310351061877</v>
      </c>
      <c r="F43" s="6">
        <v>2.4158022217654853</v>
      </c>
      <c r="G43" s="6">
        <v>0.19861387665361854</v>
      </c>
      <c r="H43" s="23"/>
      <c r="I43" s="23"/>
      <c r="J43" s="6">
        <f>E43+I41-I55</f>
        <v>15.095537810845029</v>
      </c>
      <c r="K43" s="6">
        <f t="shared" si="16"/>
        <v>3.6039026746474865</v>
      </c>
      <c r="L43" s="6">
        <f t="shared" si="22"/>
        <v>0.23873960105338868</v>
      </c>
      <c r="M43" s="23"/>
      <c r="N43" s="23"/>
      <c r="O43" s="6">
        <f>J43+N41-N55</f>
        <v>12.641943239708914</v>
      </c>
      <c r="P43" s="6">
        <f t="shared" si="17"/>
        <v>2.5948047799836345</v>
      </c>
      <c r="Q43" s="6">
        <f t="shared" si="23"/>
        <v>0.20525363314662223</v>
      </c>
      <c r="R43" s="23"/>
      <c r="S43" s="23"/>
      <c r="T43" s="6">
        <f>O43+S41-S55</f>
        <v>13.421986212787735</v>
      </c>
      <c r="U43" s="6">
        <f t="shared" si="18"/>
        <v>2.8990930641450268</v>
      </c>
      <c r="V43" s="6">
        <f t="shared" si="24"/>
        <v>0.21599583088402591</v>
      </c>
      <c r="W43" s="23"/>
      <c r="X43" s="23"/>
    </row>
    <row r="44" spans="1:24" x14ac:dyDescent="0.25">
      <c r="A44" s="28"/>
      <c r="B44" s="5">
        <v>-8</v>
      </c>
      <c r="C44" s="6">
        <v>284</v>
      </c>
      <c r="D44" s="6">
        <v>400</v>
      </c>
      <c r="E44" s="6">
        <v>-107.16419052704543</v>
      </c>
      <c r="F44" s="6">
        <v>0.830046884008941</v>
      </c>
      <c r="G44" s="6">
        <v>7.7455620196138081E-3</v>
      </c>
      <c r="H44" s="23"/>
      <c r="I44" s="23"/>
      <c r="J44" s="6">
        <f>E44+I41</f>
        <v>-108.00569643299605</v>
      </c>
      <c r="K44" s="6">
        <f t="shared" si="16"/>
        <v>0.84215846638689151</v>
      </c>
      <c r="L44" s="6">
        <f t="shared" si="22"/>
        <v>7.7973523082585277E-3</v>
      </c>
      <c r="M44" s="23"/>
      <c r="N44" s="23"/>
      <c r="O44" s="6">
        <f>J44+N41</f>
        <v>-110.68990655602475</v>
      </c>
      <c r="P44" s="6">
        <f t="shared" si="17"/>
        <v>0.88133020847787646</v>
      </c>
      <c r="Q44" s="6">
        <f>ABS(P44/O44)</f>
        <v>7.9621551404219382E-3</v>
      </c>
      <c r="R44" s="23"/>
      <c r="S44" s="23"/>
      <c r="T44" s="6">
        <f>O44+S41</f>
        <v>-111.2024612099446</v>
      </c>
      <c r="U44" s="6">
        <f t="shared" si="18"/>
        <v>0.88890319972307363</v>
      </c>
      <c r="V44" s="6">
        <f>ABS(U44/T44)</f>
        <v>7.9935568876022406E-3</v>
      </c>
      <c r="W44" s="23"/>
      <c r="X44" s="23"/>
    </row>
    <row r="45" spans="1:24" x14ac:dyDescent="0.25">
      <c r="A45" s="28"/>
      <c r="B45" s="5">
        <v>-4</v>
      </c>
      <c r="C45" s="6">
        <v>835</v>
      </c>
      <c r="D45" s="5">
        <v>400</v>
      </c>
      <c r="E45" s="6">
        <v>-131.24419052704545</v>
      </c>
      <c r="F45" s="6">
        <v>3.5522462240040547</v>
      </c>
      <c r="G45" s="6">
        <v>2.7065931145135481E-2</v>
      </c>
      <c r="H45" s="24"/>
      <c r="I45" s="24"/>
      <c r="J45" s="6">
        <f>E45+I41</f>
        <v>-132.08569643299606</v>
      </c>
      <c r="K45" s="6">
        <f t="shared" si="16"/>
        <v>3.5945428152656822</v>
      </c>
      <c r="L45" s="6">
        <f t="shared" si="22"/>
        <v>2.7213717399666423E-2</v>
      </c>
      <c r="M45" s="24"/>
      <c r="N45" s="24"/>
      <c r="O45" s="6">
        <f>J45+N41</f>
        <v>-134.76990655602475</v>
      </c>
      <c r="P45" s="6">
        <f t="shared" si="17"/>
        <v>3.7309964722114333</v>
      </c>
      <c r="Q45" s="6">
        <f t="shared" si="23"/>
        <v>2.7684195734456737E-2</v>
      </c>
      <c r="R45" s="24"/>
      <c r="S45" s="24"/>
      <c r="T45" s="6">
        <f>O45+S41</f>
        <v>-135.28246120994461</v>
      </c>
      <c r="U45" s="6">
        <f t="shared" si="18"/>
        <v>3.7573182972784873</v>
      </c>
      <c r="V45" s="6">
        <f t="shared" ref="V45" si="25">ABS(U45/T45)</f>
        <v>2.7773875960517246E-2</v>
      </c>
      <c r="W45" s="24"/>
      <c r="X45" s="24"/>
    </row>
    <row r="46" spans="1:24" x14ac:dyDescent="0.25">
      <c r="A46" s="28">
        <v>4</v>
      </c>
      <c r="B46" s="5">
        <v>12</v>
      </c>
      <c r="C46" s="6">
        <v>385</v>
      </c>
      <c r="D46" s="5">
        <v>400</v>
      </c>
      <c r="E46" s="6">
        <v>97.382470021447872</v>
      </c>
      <c r="F46" s="6">
        <v>0.94245236058317561</v>
      </c>
      <c r="G46" s="6">
        <v>9.6778440757931735E-3</v>
      </c>
      <c r="H46" s="22">
        <f>F46+F47-F48-F49</f>
        <v>-0.26687028771508126</v>
      </c>
      <c r="I46" s="22">
        <f>-H46/(2*(G46+G47+G48+G49))</f>
        <v>0.429418530248033</v>
      </c>
      <c r="J46" s="6">
        <f>E46+I46</f>
        <v>97.811888551695901</v>
      </c>
      <c r="K46" s="6">
        <f t="shared" si="16"/>
        <v>0.95016344151276688</v>
      </c>
      <c r="L46" s="6">
        <f>ABS(K46/J46)</f>
        <v>9.7141917570744279E-3</v>
      </c>
      <c r="M46" s="22">
        <f>K46+K47-K48-K49</f>
        <v>-2.5345663800344225</v>
      </c>
      <c r="N46" s="22">
        <f>-M46/(2*(L46+L47+L48+L49))</f>
        <v>2.7571073883300343</v>
      </c>
      <c r="O46" s="6">
        <f>J46+N46</f>
        <v>100.56899594002593</v>
      </c>
      <c r="P46" s="6">
        <f t="shared" si="17"/>
        <v>1.0003604903228085</v>
      </c>
      <c r="Q46" s="6">
        <f>ABS(P46/O46)</f>
        <v>9.9470068381648253E-3</v>
      </c>
      <c r="R46" s="22">
        <f>P46+P47-P48-P49</f>
        <v>-5.9542113776333672E-2</v>
      </c>
      <c r="S46" s="22">
        <f>-R46/(2*(Q46+Q47+Q48+Q49))</f>
        <v>9.1777419909417263E-2</v>
      </c>
      <c r="T46" s="6">
        <f>O46+S46</f>
        <v>100.66077335993535</v>
      </c>
      <c r="U46" s="6">
        <f t="shared" si="18"/>
        <v>1.0020518580480486</v>
      </c>
      <c r="V46" s="6">
        <f>ABS(U46/T46)</f>
        <v>9.9547403084713614E-3</v>
      </c>
      <c r="W46" s="22">
        <f>U46+U47-U48-U49</f>
        <v>-1.2976795326965447</v>
      </c>
      <c r="X46" s="22">
        <f>-W46/(2*(V46+V47+V48+V49))</f>
        <v>1.5944763752559488</v>
      </c>
    </row>
    <row r="47" spans="1:24" x14ac:dyDescent="0.25">
      <c r="A47" s="28"/>
      <c r="B47" s="5">
        <v>17</v>
      </c>
      <c r="C47" s="6">
        <v>320</v>
      </c>
      <c r="D47" s="5">
        <v>300</v>
      </c>
      <c r="E47" s="6">
        <v>75.912470021447874</v>
      </c>
      <c r="F47" s="6">
        <v>2.0048126332956802</v>
      </c>
      <c r="G47" s="6">
        <v>2.6409529721918571E-2</v>
      </c>
      <c r="H47" s="23"/>
      <c r="I47" s="23"/>
      <c r="J47" s="6">
        <f>E47+I46</f>
        <v>76.341888551695902</v>
      </c>
      <c r="K47" s="6">
        <f t="shared" si="16"/>
        <v>2.0258662850582194</v>
      </c>
      <c r="L47" s="6">
        <f t="shared" ref="L47" si="26">ABS(K47/J47)</f>
        <v>2.6536758829150235E-2</v>
      </c>
      <c r="M47" s="23"/>
      <c r="N47" s="23"/>
      <c r="O47" s="6">
        <f>J47+N46</f>
        <v>79.098995940025929</v>
      </c>
      <c r="P47" s="6">
        <f t="shared" si="17"/>
        <v>2.1634483185832059</v>
      </c>
      <c r="Q47" s="6">
        <f t="shared" ref="Q47" si="27">ABS(P47/O47)</f>
        <v>2.7351147670996553E-2</v>
      </c>
      <c r="R47" s="23"/>
      <c r="S47" s="23"/>
      <c r="T47" s="6">
        <f>O47+S46</f>
        <v>79.190773359935349</v>
      </c>
      <c r="U47" s="6">
        <f t="shared" si="18"/>
        <v>2.1680995396295404</v>
      </c>
      <c r="V47" s="6">
        <f t="shared" ref="V47" si="28">ABS(U47/T47)</f>
        <v>2.7378183690354486E-2</v>
      </c>
      <c r="W47" s="23"/>
      <c r="X47" s="23"/>
    </row>
    <row r="48" spans="1:24" x14ac:dyDescent="0.25">
      <c r="A48" s="28"/>
      <c r="B48" s="10">
        <v>-13</v>
      </c>
      <c r="C48" s="11">
        <v>1020</v>
      </c>
      <c r="D48" s="10">
        <v>150</v>
      </c>
      <c r="E48" s="6">
        <v>-5.2012236885535508</v>
      </c>
      <c r="F48" s="6">
        <v>1.3044505029488667</v>
      </c>
      <c r="G48" s="6">
        <v>0.25079684725338769</v>
      </c>
      <c r="H48" s="23"/>
      <c r="I48" s="23"/>
      <c r="J48" s="6">
        <f>E48+I46-I50</f>
        <v>-8.982182617582696</v>
      </c>
      <c r="K48" s="6">
        <f t="shared" si="16"/>
        <v>3.5880906143292006</v>
      </c>
      <c r="L48" s="6">
        <f>ABS(K48/J48)</f>
        <v>0.39946756452106463</v>
      </c>
      <c r="M48" s="23"/>
      <c r="N48" s="23"/>
      <c r="O48" s="6">
        <f>J48+N46-N50</f>
        <v>-5.5262725239579575</v>
      </c>
      <c r="P48" s="6">
        <f t="shared" si="17"/>
        <v>1.459435061376948</v>
      </c>
      <c r="Q48" s="6">
        <f>ABS(P48/O48)</f>
        <v>0.26409031676412686</v>
      </c>
      <c r="R48" s="23"/>
      <c r="S48" s="23"/>
      <c r="T48" s="6">
        <f>O48+S46-S50</f>
        <v>-7.5920639721236949</v>
      </c>
      <c r="U48" s="6">
        <f t="shared" si="18"/>
        <v>2.6280076084341748</v>
      </c>
      <c r="V48" s="6">
        <f>ABS(U48/T48)</f>
        <v>0.3461519315542666</v>
      </c>
      <c r="W48" s="23"/>
      <c r="X48" s="23"/>
    </row>
    <row r="49" spans="1:24" x14ac:dyDescent="0.25">
      <c r="A49" s="28"/>
      <c r="B49" s="8">
        <v>-9</v>
      </c>
      <c r="C49" s="9">
        <v>1121</v>
      </c>
      <c r="D49" s="8">
        <v>400</v>
      </c>
      <c r="E49" s="6">
        <v>-80.069770025243798</v>
      </c>
      <c r="F49" s="6">
        <v>1.9096847786450704</v>
      </c>
      <c r="G49" s="6">
        <v>2.3850259318129667E-2</v>
      </c>
      <c r="H49" s="24"/>
      <c r="I49" s="24"/>
      <c r="J49" s="6">
        <f>E49+I46-I33</f>
        <v>-80.359577189698044</v>
      </c>
      <c r="K49" s="6">
        <f t="shared" si="16"/>
        <v>1.9225054922762077</v>
      </c>
      <c r="L49" s="6">
        <f t="shared" ref="L49:L58" si="29">ABS(K49/J49)</f>
        <v>2.3923788047539273E-2</v>
      </c>
      <c r="M49" s="24"/>
      <c r="N49" s="24"/>
      <c r="O49" s="6">
        <f>J49+N46-N33</f>
        <v>-76.709439127838891</v>
      </c>
      <c r="P49" s="6">
        <f t="shared" si="17"/>
        <v>1.7639158613054002</v>
      </c>
      <c r="Q49" s="6">
        <f t="shared" ref="Q49:Q58" si="30">ABS(P49/O49)</f>
        <v>2.2994769370765108E-2</v>
      </c>
      <c r="R49" s="24"/>
      <c r="S49" s="24"/>
      <c r="T49" s="6">
        <f>O49+S46-S33</f>
        <v>-78.474593413494659</v>
      </c>
      <c r="U49" s="6">
        <f t="shared" si="18"/>
        <v>1.8398233219399591</v>
      </c>
      <c r="V49" s="6">
        <f t="shared" ref="V49:V58" si="31">ABS(U49/T49)</f>
        <v>2.3444827706792286E-2</v>
      </c>
      <c r="W49" s="24"/>
      <c r="X49" s="24"/>
    </row>
    <row r="50" spans="1:24" x14ac:dyDescent="0.25">
      <c r="A50" s="29">
        <v>5</v>
      </c>
      <c r="B50" s="10">
        <v>13</v>
      </c>
      <c r="C50" s="11">
        <v>1020</v>
      </c>
      <c r="D50" s="10">
        <v>150</v>
      </c>
      <c r="E50" s="6">
        <v>5.2012236885535543</v>
      </c>
      <c r="F50" s="6">
        <v>1.3044505029488691</v>
      </c>
      <c r="G50" s="6">
        <v>0.25079684725338802</v>
      </c>
      <c r="H50" s="22">
        <f>F50+F51-F52-F53-F54</f>
        <v>-3.4418650040377425</v>
      </c>
      <c r="I50" s="22">
        <f>-H50/(2*(G50+G51+G52+G53+G54))</f>
        <v>4.2103774592771783</v>
      </c>
      <c r="J50" s="6">
        <f>E50+I50-I46</f>
        <v>8.9821826175827013</v>
      </c>
      <c r="K50" s="6">
        <f t="shared" si="16"/>
        <v>3.5880906143292073</v>
      </c>
      <c r="L50" s="6">
        <f t="shared" si="29"/>
        <v>0.39946756452106513</v>
      </c>
      <c r="M50" s="22">
        <f>K50+K51-K52-K53-K54</f>
        <v>0.76196367874454607</v>
      </c>
      <c r="N50" s="22">
        <f>-M50/(2*(L50+L51+L52+L53+L54))</f>
        <v>-0.69880270529470401</v>
      </c>
      <c r="O50" s="6">
        <f>J50+N50-N46</f>
        <v>5.5262725239579638</v>
      </c>
      <c r="P50" s="6">
        <f t="shared" si="17"/>
        <v>1.4594350613769531</v>
      </c>
      <c r="Q50" s="6">
        <f t="shared" si="30"/>
        <v>0.26409031676412753</v>
      </c>
      <c r="R50" s="22">
        <f>P50+P51-P52-P53-P54</f>
        <v>-1.7844311195346179</v>
      </c>
      <c r="S50" s="22">
        <f>-R50/(2*(Q50+Q51+Q52+Q53+Q54))</f>
        <v>2.1575688680751544</v>
      </c>
      <c r="T50" s="6">
        <f>O50+S50-S46</f>
        <v>7.5920639721237011</v>
      </c>
      <c r="U50" s="6">
        <f t="shared" si="18"/>
        <v>2.6280076084341797</v>
      </c>
      <c r="V50" s="6">
        <f t="shared" si="31"/>
        <v>0.34615193155426699</v>
      </c>
      <c r="W50" s="22">
        <f>U50+U51-U52-U53-U54</f>
        <v>0.1410929491313575</v>
      </c>
      <c r="X50" s="22">
        <f>-W50/(2*(V50+V51+V52+V53+V54))</f>
        <v>-0.14361035060005509</v>
      </c>
    </row>
    <row r="51" spans="1:24" x14ac:dyDescent="0.25">
      <c r="A51" s="30"/>
      <c r="B51" s="5">
        <v>18</v>
      </c>
      <c r="C51" s="6">
        <v>651</v>
      </c>
      <c r="D51" s="5">
        <v>300</v>
      </c>
      <c r="E51" s="6">
        <v>53.223693710001427</v>
      </c>
      <c r="F51" s="6">
        <v>2.113057806954898</v>
      </c>
      <c r="G51" s="6">
        <v>3.9701449855552337E-2</v>
      </c>
      <c r="H51" s="23"/>
      <c r="I51" s="23"/>
      <c r="J51" s="6">
        <f>E51+I50</f>
        <v>57.434071169278603</v>
      </c>
      <c r="K51" s="6">
        <f t="shared" si="16"/>
        <v>2.4330274031320438</v>
      </c>
      <c r="L51" s="6">
        <f t="shared" si="29"/>
        <v>4.2362091936005167E-2</v>
      </c>
      <c r="M51" s="23"/>
      <c r="N51" s="23"/>
      <c r="O51" s="6">
        <f>J51+N50</f>
        <v>56.7352684639839</v>
      </c>
      <c r="P51" s="6">
        <f t="shared" si="17"/>
        <v>2.3784874545840657</v>
      </c>
      <c r="Q51" s="6">
        <f t="shared" si="30"/>
        <v>4.1922555739626978E-2</v>
      </c>
      <c r="R51" s="23"/>
      <c r="S51" s="23"/>
      <c r="T51" s="6">
        <f>O51+S50</f>
        <v>58.892837332059052</v>
      </c>
      <c r="U51" s="6">
        <f t="shared" si="18"/>
        <v>2.5487110811522937</v>
      </c>
      <c r="V51" s="6">
        <f t="shared" si="31"/>
        <v>4.3277097803621545E-2</v>
      </c>
      <c r="W51" s="23"/>
      <c r="X51" s="23"/>
    </row>
    <row r="52" spans="1:24" x14ac:dyDescent="0.25">
      <c r="A52" s="30"/>
      <c r="B52" s="14">
        <f>-15</f>
        <v>-15</v>
      </c>
      <c r="C52" s="15">
        <v>570</v>
      </c>
      <c r="D52" s="14">
        <v>300</v>
      </c>
      <c r="E52" s="6">
        <v>-64.898805411891246</v>
      </c>
      <c r="F52" s="6">
        <v>2.6712906145657969</v>
      </c>
      <c r="G52" s="6">
        <v>4.1160859550680468E-2</v>
      </c>
      <c r="H52" s="23"/>
      <c r="I52" s="23"/>
      <c r="J52" s="6">
        <f>E52+I50-I55</f>
        <v>-56.914694586880309</v>
      </c>
      <c r="K52" s="6">
        <f t="shared" si="16"/>
        <v>2.0947604776951967</v>
      </c>
      <c r="L52" s="6">
        <f t="shared" si="29"/>
        <v>3.680526607232415E-2</v>
      </c>
      <c r="M52" s="23"/>
      <c r="N52" s="23"/>
      <c r="O52" s="6">
        <f>J52+N50-N55</f>
        <v>-57.382881740282428</v>
      </c>
      <c r="P52" s="6">
        <f t="shared" si="17"/>
        <v>2.126785472839571</v>
      </c>
      <c r="Q52" s="6">
        <f t="shared" si="30"/>
        <v>3.7063064947931691E-2</v>
      </c>
      <c r="R52" s="23"/>
      <c r="S52" s="23"/>
      <c r="T52" s="6">
        <f>O52+S50-S55</f>
        <v>-53.932715245208598</v>
      </c>
      <c r="U52" s="6">
        <f t="shared" si="18"/>
        <v>1.8960474304456567</v>
      </c>
      <c r="V52" s="6">
        <f t="shared" si="31"/>
        <v>3.5155794063494741E-2</v>
      </c>
      <c r="W52" s="23"/>
      <c r="X52" s="23"/>
    </row>
    <row r="53" spans="1:24" x14ac:dyDescent="0.25">
      <c r="A53" s="30"/>
      <c r="B53" s="18">
        <v>-14</v>
      </c>
      <c r="C53" s="19">
        <v>460</v>
      </c>
      <c r="D53" s="18">
        <v>500</v>
      </c>
      <c r="E53" s="6">
        <v>-146.85211576295313</v>
      </c>
      <c r="F53" s="6">
        <v>0.81283140547928712</v>
      </c>
      <c r="G53" s="6">
        <v>5.5350336715022175E-3</v>
      </c>
      <c r="H53" s="23"/>
      <c r="I53" s="23"/>
      <c r="J53" s="6">
        <f>E53+I50-I41</f>
        <v>-141.80023239772535</v>
      </c>
      <c r="K53" s="6">
        <f t="shared" si="16"/>
        <v>0.76180536652558217</v>
      </c>
      <c r="L53" s="6">
        <f t="shared" si="29"/>
        <v>5.3723844710553692E-3</v>
      </c>
      <c r="M53" s="23"/>
      <c r="N53" s="23"/>
      <c r="O53" s="6">
        <f>J53+N50-N41</f>
        <v>-139.81482497999136</v>
      </c>
      <c r="P53" s="6">
        <f t="shared" si="17"/>
        <v>0.74216915302813879</v>
      </c>
      <c r="Q53" s="6">
        <f t="shared" si="30"/>
        <v>5.3082293178448653E-3</v>
      </c>
      <c r="R53" s="23"/>
      <c r="S53" s="23"/>
      <c r="T53" s="6">
        <f>O53+S50-S41</f>
        <v>-137.14470145799635</v>
      </c>
      <c r="U53" s="6">
        <f t="shared" si="18"/>
        <v>0.71613335135292211</v>
      </c>
      <c r="V53" s="6">
        <f t="shared" si="31"/>
        <v>5.2217354643646517E-3</v>
      </c>
      <c r="W53" s="23"/>
      <c r="X53" s="23"/>
    </row>
    <row r="54" spans="1:24" x14ac:dyDescent="0.25">
      <c r="A54" s="31"/>
      <c r="B54" s="20">
        <v>-10</v>
      </c>
      <c r="C54" s="21">
        <v>1300</v>
      </c>
      <c r="D54" s="20">
        <v>300</v>
      </c>
      <c r="E54" s="6">
        <v>-47.178777138974922</v>
      </c>
      <c r="F54" s="6">
        <v>3.3752512938964259</v>
      </c>
      <c r="G54" s="6">
        <v>7.1541729111670685E-2</v>
      </c>
      <c r="H54" s="24"/>
      <c r="I54" s="24"/>
      <c r="J54" s="6">
        <f>E54+I50-I37</f>
        <v>-39.267624410459597</v>
      </c>
      <c r="K54" s="6">
        <f t="shared" si="16"/>
        <v>2.4025884944959266</v>
      </c>
      <c r="L54" s="6">
        <f t="shared" si="29"/>
        <v>6.1184971858291394E-2</v>
      </c>
      <c r="M54" s="24"/>
      <c r="N54" s="24"/>
      <c r="O54" s="6">
        <f>J54+N50-N37</f>
        <v>-42.266330179555069</v>
      </c>
      <c r="P54" s="6">
        <f t="shared" si="17"/>
        <v>2.7533990096279268</v>
      </c>
      <c r="Q54" s="6">
        <f t="shared" si="30"/>
        <v>6.5144028306479085E-2</v>
      </c>
      <c r="R54" s="24"/>
      <c r="S54" s="24"/>
      <c r="T54" s="6">
        <f>O54+S50-S37</f>
        <v>-39.451316532488413</v>
      </c>
      <c r="U54" s="6">
        <f t="shared" si="18"/>
        <v>2.4234449586565372</v>
      </c>
      <c r="V54" s="6">
        <f t="shared" si="31"/>
        <v>6.1428747419894458E-2</v>
      </c>
      <c r="W54" s="24"/>
      <c r="X54" s="24"/>
    </row>
    <row r="55" spans="1:24" x14ac:dyDescent="0.25">
      <c r="A55" s="28">
        <v>6</v>
      </c>
      <c r="B55" s="14">
        <v>15</v>
      </c>
      <c r="C55" s="15">
        <v>570</v>
      </c>
      <c r="D55" s="14">
        <v>300</v>
      </c>
      <c r="E55" s="6">
        <v>64.89880541189126</v>
      </c>
      <c r="F55" s="6">
        <v>2.6712906145657995</v>
      </c>
      <c r="G55" s="6">
        <v>4.1160859550680495E-2</v>
      </c>
      <c r="H55" s="22">
        <f>F55+F56-F57-F58</f>
        <v>3.535501292737619</v>
      </c>
      <c r="I55" s="22">
        <f>-H55/(2*(G55+G56+G57+G58))</f>
        <v>-3.7737333657337619</v>
      </c>
      <c r="J55" s="6">
        <f>E55+I55-I50</f>
        <v>56.914694586880323</v>
      </c>
      <c r="K55" s="6">
        <f t="shared" si="16"/>
        <v>2.0947604776951967</v>
      </c>
      <c r="L55" s="6">
        <f t="shared" si="29"/>
        <v>3.6805266072324136E-2</v>
      </c>
      <c r="M55" s="22">
        <f>K55+K56-K57-K58</f>
        <v>0.22552788099524923</v>
      </c>
      <c r="N55" s="22">
        <f>-M55/(2*(L55+L56+L57+L58))</f>
        <v>-0.23061555189258301</v>
      </c>
      <c r="O55" s="6">
        <f>J55+N55-N50</f>
        <v>57.382881740282443</v>
      </c>
      <c r="P55" s="6">
        <f t="shared" si="17"/>
        <v>2.126785472839571</v>
      </c>
      <c r="Q55" s="6">
        <f t="shared" si="30"/>
        <v>3.7063064947931677E-2</v>
      </c>
      <c r="R55" s="22">
        <f>P55+P56-P57-P58</f>
        <v>1.1757017628548589</v>
      </c>
      <c r="S55" s="22">
        <f>-R55/(2*(Q55+Q56+Q57+Q58))</f>
        <v>-1.2925976269986745</v>
      </c>
      <c r="T55" s="6">
        <f>O55+S55-S50</f>
        <v>53.932715245208612</v>
      </c>
      <c r="U55" s="6">
        <f t="shared" si="18"/>
        <v>1.8960474304456567</v>
      </c>
      <c r="V55" s="6">
        <f t="shared" si="31"/>
        <v>3.5155794063494734E-2</v>
      </c>
      <c r="W55" s="22">
        <f>U55+U56-U57-U58</f>
        <v>0.13853931707384115</v>
      </c>
      <c r="X55" s="22">
        <f>-W55/(2*(V55+V56+V57+V58))</f>
        <v>-0.151183467863237</v>
      </c>
    </row>
    <row r="56" spans="1:24" x14ac:dyDescent="0.25">
      <c r="A56" s="28"/>
      <c r="B56" s="5">
        <v>19</v>
      </c>
      <c r="C56" s="6">
        <v>791</v>
      </c>
      <c r="D56" s="5">
        <v>200</v>
      </c>
      <c r="E56" s="6">
        <v>24.092499121892679</v>
      </c>
      <c r="F56" s="6">
        <v>4.2615737986643039</v>
      </c>
      <c r="G56" s="6">
        <v>0.17688384160993256</v>
      </c>
      <c r="H56" s="23"/>
      <c r="I56" s="23"/>
      <c r="J56" s="6">
        <f>E56+I55</f>
        <v>20.318765756158918</v>
      </c>
      <c r="K56" s="6">
        <f t="shared" si="16"/>
        <v>3.1084985374649468</v>
      </c>
      <c r="L56" s="6">
        <f t="shared" si="29"/>
        <v>0.15298658268761797</v>
      </c>
      <c r="M56" s="23"/>
      <c r="N56" s="23"/>
      <c r="O56" s="6">
        <f>J56+N55</f>
        <v>20.088150204266334</v>
      </c>
      <c r="P56" s="6">
        <f t="shared" si="17"/>
        <v>3.0434740699981901</v>
      </c>
      <c r="Q56" s="6">
        <f t="shared" si="30"/>
        <v>0.15150593952407898</v>
      </c>
      <c r="R56" s="23"/>
      <c r="S56" s="23"/>
      <c r="T56" s="6">
        <f>O56+S55</f>
        <v>18.79555257726766</v>
      </c>
      <c r="U56" s="6">
        <f t="shared" si="18"/>
        <v>2.6907593988122747</v>
      </c>
      <c r="V56" s="6">
        <f t="shared" si="31"/>
        <v>0.14315936643792118</v>
      </c>
      <c r="W56" s="23"/>
      <c r="X56" s="23"/>
    </row>
    <row r="57" spans="1:24" x14ac:dyDescent="0.25">
      <c r="A57" s="28"/>
      <c r="B57" s="5">
        <v>-16</v>
      </c>
      <c r="C57" s="6">
        <v>284</v>
      </c>
      <c r="D57" s="5">
        <v>200</v>
      </c>
      <c r="E57" s="6">
        <v>-18.957500878107318</v>
      </c>
      <c r="F57" s="6">
        <v>0.98156089872699814</v>
      </c>
      <c r="G57" s="6">
        <v>5.1776914322105273E-2</v>
      </c>
      <c r="H57" s="23"/>
      <c r="I57" s="23"/>
      <c r="J57" s="6">
        <f>E57+I55</f>
        <v>-22.731234243841079</v>
      </c>
      <c r="K57" s="6">
        <f t="shared" si="16"/>
        <v>1.373828459517408</v>
      </c>
      <c r="L57" s="6">
        <f t="shared" si="29"/>
        <v>6.0437917483061453E-2</v>
      </c>
      <c r="M57" s="23"/>
      <c r="N57" s="23"/>
      <c r="O57" s="6">
        <f>J57+N55</f>
        <v>-22.961849795733663</v>
      </c>
      <c r="P57" s="6">
        <f t="shared" si="17"/>
        <v>1.3997529999992633</v>
      </c>
      <c r="Q57" s="6">
        <f t="shared" si="30"/>
        <v>6.0959940616776398E-2</v>
      </c>
      <c r="R57" s="23"/>
      <c r="S57" s="23"/>
      <c r="T57" s="6">
        <f>O57+S55</f>
        <v>-24.254447422732337</v>
      </c>
      <c r="U57" s="6">
        <f t="shared" si="18"/>
        <v>1.549174448039063</v>
      </c>
      <c r="V57" s="6">
        <f t="shared" si="31"/>
        <v>6.387176838286196E-2</v>
      </c>
      <c r="W57" s="23"/>
      <c r="X57" s="23"/>
    </row>
    <row r="58" spans="1:24" x14ac:dyDescent="0.25">
      <c r="A58" s="28"/>
      <c r="B58" s="16">
        <v>-11</v>
      </c>
      <c r="C58" s="17">
        <v>1590</v>
      </c>
      <c r="D58" s="16">
        <v>200</v>
      </c>
      <c r="E58" s="6">
        <v>-12.163310351061881</v>
      </c>
      <c r="F58" s="6">
        <v>2.4158022217654853</v>
      </c>
      <c r="G58" s="6">
        <v>0.19861387665361849</v>
      </c>
      <c r="H58" s="24"/>
      <c r="I58" s="24"/>
      <c r="J58" s="6">
        <f>E58+I55-I41</f>
        <v>-15.095537810845032</v>
      </c>
      <c r="K58" s="6">
        <f t="shared" si="16"/>
        <v>3.6039026746474865</v>
      </c>
      <c r="L58" s="6">
        <f t="shared" si="29"/>
        <v>0.23873960105338862</v>
      </c>
      <c r="M58" s="24"/>
      <c r="N58" s="24"/>
      <c r="O58" s="6">
        <f>J58+N55-N41</f>
        <v>-12.641943239708917</v>
      </c>
      <c r="P58" s="6">
        <f t="shared" si="17"/>
        <v>2.5948047799836389</v>
      </c>
      <c r="Q58" s="6">
        <f t="shared" si="30"/>
        <v>0.20525363314662254</v>
      </c>
      <c r="R58" s="24"/>
      <c r="S58" s="24"/>
      <c r="T58" s="6">
        <f>O58+S55-S41</f>
        <v>-13.421986212787738</v>
      </c>
      <c r="U58" s="6">
        <f t="shared" si="18"/>
        <v>2.8990930641450268</v>
      </c>
      <c r="V58" s="6">
        <f t="shared" si="31"/>
        <v>0.21599583088402585</v>
      </c>
      <c r="W58" s="24"/>
      <c r="X58" s="24"/>
    </row>
    <row r="61" spans="1:24" x14ac:dyDescent="0.25">
      <c r="A61" s="32" t="s">
        <v>0</v>
      </c>
      <c r="B61" s="33" t="s">
        <v>1</v>
      </c>
      <c r="C61" s="34" t="s">
        <v>2</v>
      </c>
      <c r="D61" s="34" t="s">
        <v>3</v>
      </c>
      <c r="E61" s="25" t="s">
        <v>16</v>
      </c>
      <c r="F61" s="25"/>
      <c r="G61" s="25"/>
      <c r="H61" s="26" t="s">
        <v>5</v>
      </c>
      <c r="I61" s="26" t="s">
        <v>6</v>
      </c>
      <c r="J61" s="25" t="s">
        <v>17</v>
      </c>
      <c r="K61" s="25"/>
      <c r="L61" s="25"/>
      <c r="M61" s="26" t="s">
        <v>5</v>
      </c>
      <c r="N61" s="26" t="s">
        <v>6</v>
      </c>
      <c r="O61" s="25" t="s">
        <v>18</v>
      </c>
      <c r="P61" s="25"/>
      <c r="Q61" s="25"/>
      <c r="R61" s="26" t="s">
        <v>5</v>
      </c>
      <c r="S61" s="26" t="s">
        <v>6</v>
      </c>
      <c r="T61" s="25" t="s">
        <v>19</v>
      </c>
      <c r="U61" s="25"/>
      <c r="V61" s="25"/>
      <c r="W61" s="26" t="s">
        <v>5</v>
      </c>
      <c r="X61" s="26" t="s">
        <v>6</v>
      </c>
    </row>
    <row r="62" spans="1:24" x14ac:dyDescent="0.25">
      <c r="A62" s="32"/>
      <c r="B62" s="33"/>
      <c r="C62" s="35"/>
      <c r="D62" s="35"/>
      <c r="E62" s="1" t="s">
        <v>7</v>
      </c>
      <c r="F62" s="1" t="s">
        <v>8</v>
      </c>
      <c r="G62" s="2" t="s">
        <v>9</v>
      </c>
      <c r="H62" s="27"/>
      <c r="I62" s="27"/>
      <c r="J62" s="1" t="s">
        <v>7</v>
      </c>
      <c r="K62" s="1" t="s">
        <v>8</v>
      </c>
      <c r="L62" s="2" t="s">
        <v>9</v>
      </c>
      <c r="M62" s="27"/>
      <c r="N62" s="27"/>
      <c r="O62" s="1" t="s">
        <v>7</v>
      </c>
      <c r="P62" s="1" t="s">
        <v>8</v>
      </c>
      <c r="Q62" s="2" t="s">
        <v>9</v>
      </c>
      <c r="R62" s="27"/>
      <c r="S62" s="27"/>
      <c r="T62" s="1" t="s">
        <v>7</v>
      </c>
      <c r="U62" s="1" t="s">
        <v>8</v>
      </c>
      <c r="V62" s="2" t="s">
        <v>9</v>
      </c>
      <c r="W62" s="27"/>
      <c r="X62" s="27"/>
    </row>
    <row r="63" spans="1:24" x14ac:dyDescent="0.25">
      <c r="A63" s="28">
        <v>1</v>
      </c>
      <c r="B63" s="5">
        <v>5</v>
      </c>
      <c r="C63" s="6">
        <v>847</v>
      </c>
      <c r="D63" s="6">
        <v>600</v>
      </c>
      <c r="E63" s="6">
        <v>250.79536677343</v>
      </c>
      <c r="F63" s="6">
        <v>1.659552405263846</v>
      </c>
      <c r="G63" s="6">
        <v>6.6171573526838529E-3</v>
      </c>
      <c r="H63" s="22">
        <f>F63+F64-F65-F66</f>
        <v>2.9190948495558811E-3</v>
      </c>
      <c r="I63" s="22">
        <f>-H63/(2*(G63+G64+G65+G66))</f>
        <v>-2.951834490473992E-2</v>
      </c>
      <c r="J63" s="6">
        <f>E63+I63</f>
        <v>250.76584842852526</v>
      </c>
      <c r="K63" s="6">
        <f>10.67*((ABS(J63)/1000)^1.852)*C63/((100^1.852)*(D63/1000)^4.87)</f>
        <v>1.6591906768106688</v>
      </c>
      <c r="L63" s="6">
        <f>ABS(K63/J63)</f>
        <v>6.6164937817821748E-3</v>
      </c>
      <c r="M63" s="22">
        <f>K63+K64-K65-K66</f>
        <v>-0.11541502432164452</v>
      </c>
      <c r="N63" s="22">
        <f>-M63/(2*(L63+L64+L65+L66))</f>
        <v>1.1720328073819146</v>
      </c>
      <c r="O63" s="6">
        <f>J63+N63</f>
        <v>251.93788123590718</v>
      </c>
      <c r="P63" s="6">
        <f>10.67*((ABS(O63)/1000)^1.852)*C63/((100^1.852)*(D63/1000)^4.87)</f>
        <v>1.6735810580881132</v>
      </c>
      <c r="Q63" s="6">
        <f>ABS(P63/O63)</f>
        <v>6.6428321532204255E-3</v>
      </c>
      <c r="R63" s="22">
        <f>P63+P64-P65-P66</f>
        <v>-1.3245070079824339E-2</v>
      </c>
      <c r="S63" s="22">
        <f>-R63/(2*(Q63+Q64+Q65+Q66))</f>
        <v>0.13419225121761377</v>
      </c>
      <c r="T63" s="6">
        <f>O63+S63</f>
        <v>252.07207348712481</v>
      </c>
      <c r="U63" s="6">
        <f>10.67*((ABS(T63)/1000)^1.852)*C63/((100^1.852)*(D63/1000)^4.87)</f>
        <v>1.6752323362213477</v>
      </c>
      <c r="V63" s="6">
        <f>ABS(U63/T63)</f>
        <v>6.6458466146068901E-3</v>
      </c>
      <c r="W63" s="22">
        <f>U63+U64-U65-U66</f>
        <v>-7.148231597034882E-2</v>
      </c>
      <c r="X63" s="22">
        <f>-W63/(2*(V63+V64+V65+V66))</f>
        <v>0.72578222728644448</v>
      </c>
    </row>
    <row r="64" spans="1:24" x14ac:dyDescent="0.25">
      <c r="A64" s="28"/>
      <c r="B64" s="8">
        <v>9</v>
      </c>
      <c r="C64" s="9">
        <v>1121</v>
      </c>
      <c r="D64" s="9">
        <v>400</v>
      </c>
      <c r="E64" s="6">
        <v>78.474593413494631</v>
      </c>
      <c r="F64" s="6">
        <v>1.8398233219399571</v>
      </c>
      <c r="G64" s="6">
        <v>2.3444827706792272E-2</v>
      </c>
      <c r="H64" s="23"/>
      <c r="I64" s="23"/>
      <c r="J64" s="6">
        <f>E64+I63-I76</f>
        <v>76.850598693333936</v>
      </c>
      <c r="K64" s="6">
        <f t="shared" ref="K64:K88" si="32">10.67*((ABS(J64)/1000)^1.852)*C64/((100^1.852)*(D64/1000)^4.87)</f>
        <v>1.7699320388002655</v>
      </c>
      <c r="L64" s="6">
        <f>ABS(K64/J64)</f>
        <v>2.3030816530955543E-2</v>
      </c>
      <c r="M64" s="23"/>
      <c r="N64" s="23"/>
      <c r="O64" s="6">
        <f>J64+N63-N76</f>
        <v>77.856530955824866</v>
      </c>
      <c r="P64" s="6">
        <f t="shared" ref="P64:P88" si="33">10.67*((ABS(O64)/1000)^1.852)*C64/((100^1.852)*(D64/1000)^4.87)</f>
        <v>1.8130772353217834</v>
      </c>
      <c r="Q64" s="6">
        <f>ABS(P64/O64)</f>
        <v>2.3287413567790582E-2</v>
      </c>
      <c r="R64" s="23"/>
      <c r="S64" s="23"/>
      <c r="T64" s="6">
        <f>O64+S63-S76</f>
        <v>77.016337196974874</v>
      </c>
      <c r="U64" s="6">
        <f t="shared" ref="U64:U88" si="34">10.67*((ABS(T64)/1000)^1.852)*C64/((100^1.852)*(D64/1000)^4.87)</f>
        <v>1.7770077891802409</v>
      </c>
      <c r="V64" s="6">
        <f>ABS(U64/T64)</f>
        <v>2.3073127778531124E-2</v>
      </c>
      <c r="W64" s="23"/>
      <c r="X64" s="23"/>
    </row>
    <row r="65" spans="1:24" x14ac:dyDescent="0.25">
      <c r="A65" s="28"/>
      <c r="B65" s="3">
        <v>-6</v>
      </c>
      <c r="C65" s="4">
        <v>1075</v>
      </c>
      <c r="D65" s="4">
        <v>450</v>
      </c>
      <c r="E65" s="6">
        <v>-106.10878709111748</v>
      </c>
      <c r="F65" s="6">
        <v>1.7382788346355642</v>
      </c>
      <c r="G65" s="6">
        <v>1.6382044148171005E-2</v>
      </c>
      <c r="H65" s="23"/>
      <c r="I65" s="23"/>
      <c r="J65" s="6">
        <f>E65+I63-I67</f>
        <v>-107.6782635481748</v>
      </c>
      <c r="K65" s="6">
        <f t="shared" si="32"/>
        <v>1.7861958578775985</v>
      </c>
      <c r="L65" s="6">
        <f t="shared" ref="L65" si="35">ABS(K65/J65)</f>
        <v>1.6588267669068252E-2</v>
      </c>
      <c r="M65" s="23"/>
      <c r="N65" s="23"/>
      <c r="O65" s="6">
        <f>J65+N63-N67</f>
        <v>-106.43112502233319</v>
      </c>
      <c r="P65" s="6">
        <f t="shared" si="33"/>
        <v>1.74807107497162</v>
      </c>
      <c r="Q65" s="6">
        <f t="shared" ref="Q65" si="36">ABS(P65/O65)</f>
        <v>1.6424434812699857E-2</v>
      </c>
      <c r="R65" s="23"/>
      <c r="S65" s="23"/>
      <c r="T65" s="6">
        <f>O65+S63-S67</f>
        <v>-107.23606903099505</v>
      </c>
      <c r="U65" s="6">
        <f t="shared" si="34"/>
        <v>1.7726347620242833</v>
      </c>
      <c r="V65" s="6">
        <f t="shared" ref="V65" si="37">ABS(U65/T65)</f>
        <v>1.6530210199256077E-2</v>
      </c>
      <c r="W65" s="23"/>
      <c r="X65" s="23"/>
    </row>
    <row r="66" spans="1:24" x14ac:dyDescent="0.25">
      <c r="A66" s="28"/>
      <c r="B66" s="5">
        <v>-2</v>
      </c>
      <c r="C66" s="6">
        <v>757</v>
      </c>
      <c r="D66" s="6">
        <v>800</v>
      </c>
      <c r="E66" s="6">
        <v>-585.78463322657001</v>
      </c>
      <c r="F66" s="6">
        <v>1.758177797718683</v>
      </c>
      <c r="G66" s="6">
        <v>3.0014064862617425E-3</v>
      </c>
      <c r="H66" s="24"/>
      <c r="I66" s="24"/>
      <c r="J66" s="6">
        <f>E66+I63</f>
        <v>-585.81415157147478</v>
      </c>
      <c r="K66" s="6">
        <f>10.67*((ABS(J66)/1000)^1.852)*C66/((100^1.852)*(D66/1000)^4.87)</f>
        <v>1.7583418820549805</v>
      </c>
      <c r="L66" s="6">
        <f>ABS(K66/J66)</f>
        <v>3.0015353458740174E-3</v>
      </c>
      <c r="M66" s="24"/>
      <c r="N66" s="24"/>
      <c r="O66" s="6">
        <f>J66+N63</f>
        <v>-584.64211876409286</v>
      </c>
      <c r="P66" s="6">
        <f t="shared" si="33"/>
        <v>1.751832288518101</v>
      </c>
      <c r="Q66" s="6">
        <f>ABS(P66/O66)</f>
        <v>2.9964182057587566E-3</v>
      </c>
      <c r="R66" s="24"/>
      <c r="S66" s="24"/>
      <c r="T66" s="6">
        <f>O66+S63</f>
        <v>-584.5079265128752</v>
      </c>
      <c r="U66" s="6">
        <f t="shared" si="34"/>
        <v>1.751087679347654</v>
      </c>
      <c r="V66" s="6">
        <f>ABS(U66/T66)</f>
        <v>2.9958322204362477E-3</v>
      </c>
      <c r="W66" s="24"/>
      <c r="X66" s="24"/>
    </row>
    <row r="67" spans="1:24" x14ac:dyDescent="0.25">
      <c r="A67" s="28">
        <v>2</v>
      </c>
      <c r="B67" s="3">
        <v>6</v>
      </c>
      <c r="C67" s="4">
        <v>1075</v>
      </c>
      <c r="D67" s="4">
        <v>450</v>
      </c>
      <c r="E67" s="6">
        <v>106.10878709111746</v>
      </c>
      <c r="F67" s="6">
        <v>1.7382788346355642</v>
      </c>
      <c r="G67" s="6">
        <v>1.6382044148171009E-2</v>
      </c>
      <c r="H67" s="22">
        <f>F67+F68-F69-F70</f>
        <v>-0.28967644409036897</v>
      </c>
      <c r="I67" s="22">
        <f>-H67/(2*(G67+G68+G69+G70))</f>
        <v>1.5399581121525701</v>
      </c>
      <c r="J67" s="6">
        <f>E67+I67-I63</f>
        <v>107.67826354817478</v>
      </c>
      <c r="K67" s="6">
        <f t="shared" si="32"/>
        <v>1.7861958578775985</v>
      </c>
      <c r="L67" s="6">
        <f t="shared" ref="L67:L73" si="38">ABS(K67/J67)</f>
        <v>1.6588267669068256E-2</v>
      </c>
      <c r="M67" s="22">
        <f>K67+K68-K69-K70</f>
        <v>1.4474071229487961E-2</v>
      </c>
      <c r="N67" s="22">
        <f>-M67/(2*(L67+L68+L69+L70))</f>
        <v>-7.5105718459697976E-2</v>
      </c>
      <c r="O67" s="6">
        <f>J67+N67-N63</f>
        <v>106.43112502233318</v>
      </c>
      <c r="P67" s="6">
        <f t="shared" si="33"/>
        <v>1.74807107497162</v>
      </c>
      <c r="Q67" s="6">
        <f t="shared" ref="Q67:Q73" si="39">ABS(P67/O67)</f>
        <v>1.6424434812699857E-2</v>
      </c>
      <c r="R67" s="22">
        <f>P67+P68-P69-P70</f>
        <v>-0.17738528082206839</v>
      </c>
      <c r="S67" s="22">
        <f>-R67/(2*(Q67+Q68+Q69+Q70))</f>
        <v>0.93913625987948279</v>
      </c>
      <c r="T67" s="6">
        <f>O67+S67-S63</f>
        <v>107.23606903099504</v>
      </c>
      <c r="U67" s="6">
        <f t="shared" si="34"/>
        <v>1.7726347620242833</v>
      </c>
      <c r="V67" s="6">
        <f t="shared" ref="V67:V73" si="40">ABS(U67/T67)</f>
        <v>1.653021019925608E-2</v>
      </c>
      <c r="W67" s="22">
        <f>U67+U68-U69-U70</f>
        <v>-2.1684200290480238E-2</v>
      </c>
      <c r="X67" s="22">
        <f>-W67/(2*(V67+V68+V69+V70))</f>
        <v>0.11340860931576466</v>
      </c>
    </row>
    <row r="68" spans="1:24" x14ac:dyDescent="0.25">
      <c r="A68" s="28"/>
      <c r="B68" s="20">
        <v>10</v>
      </c>
      <c r="C68" s="21">
        <v>1300</v>
      </c>
      <c r="D68" s="21">
        <v>300</v>
      </c>
      <c r="E68" s="6">
        <v>39.45131653248842</v>
      </c>
      <c r="F68" s="6">
        <v>2.4234449586565399</v>
      </c>
      <c r="G68" s="6">
        <v>6.1428747419894514E-2</v>
      </c>
      <c r="H68" s="23"/>
      <c r="I68" s="23"/>
      <c r="J68" s="6">
        <f>E68+I67-I80</f>
        <v>41.134884995241045</v>
      </c>
      <c r="K68" s="6">
        <f t="shared" si="32"/>
        <v>2.6184525819885702</v>
      </c>
      <c r="L68" s="6">
        <f t="shared" si="38"/>
        <v>6.3655279023911285E-2</v>
      </c>
      <c r="M68" s="23"/>
      <c r="N68" s="23"/>
      <c r="O68" s="6">
        <f>J68+N67-N80</f>
        <v>39.809866953386297</v>
      </c>
      <c r="P68" s="6">
        <f t="shared" si="33"/>
        <v>2.4643936783923541</v>
      </c>
      <c r="Q68" s="6">
        <f t="shared" si="39"/>
        <v>6.1904092301487294E-2</v>
      </c>
      <c r="R68" s="23"/>
      <c r="S68" s="23"/>
      <c r="T68" s="6">
        <f>O68+S67-S80</f>
        <v>40.65887871395276</v>
      </c>
      <c r="U68" s="6">
        <f t="shared" si="34"/>
        <v>2.5626131919216428</v>
      </c>
      <c r="V68" s="6">
        <f t="shared" si="40"/>
        <v>6.3027148632169239E-2</v>
      </c>
      <c r="W68" s="23"/>
      <c r="X68" s="23"/>
    </row>
    <row r="69" spans="1:24" x14ac:dyDescent="0.25">
      <c r="A69" s="28"/>
      <c r="B69" s="12">
        <v>-7</v>
      </c>
      <c r="C69" s="13">
        <v>600</v>
      </c>
      <c r="D69" s="13">
        <v>500</v>
      </c>
      <c r="E69" s="6">
        <v>-179.57338492550792</v>
      </c>
      <c r="F69" s="6">
        <v>1.5388201887795685</v>
      </c>
      <c r="G69" s="6">
        <v>8.5693110335805841E-3</v>
      </c>
      <c r="H69" s="23"/>
      <c r="I69" s="23"/>
      <c r="J69" s="6">
        <f>E69+I67-I71</f>
        <v>-177.0772662697062</v>
      </c>
      <c r="K69" s="6">
        <f t="shared" si="32"/>
        <v>1.4994406152985853</v>
      </c>
      <c r="L69" s="6">
        <f t="shared" si="38"/>
        <v>8.4677194700690083E-3</v>
      </c>
      <c r="M69" s="23"/>
      <c r="N69" s="23"/>
      <c r="O69" s="6">
        <f>J69+N67-N71</f>
        <v>-176.98873628243689</v>
      </c>
      <c r="P69" s="6">
        <f t="shared" si="33"/>
        <v>1.4980525645713592</v>
      </c>
      <c r="Q69" s="6">
        <f t="shared" si="39"/>
        <v>8.4641124403576819E-3</v>
      </c>
      <c r="R69" s="23"/>
      <c r="S69" s="23"/>
      <c r="T69" s="6">
        <f>O69+S67-S71</f>
        <v>-175.73267294816281</v>
      </c>
      <c r="U69" s="6">
        <f t="shared" si="34"/>
        <v>1.4784226455166727</v>
      </c>
      <c r="V69" s="6">
        <f t="shared" si="40"/>
        <v>8.4129070634051881E-3</v>
      </c>
      <c r="W69" s="23"/>
      <c r="X69" s="23"/>
    </row>
    <row r="70" spans="1:24" x14ac:dyDescent="0.25">
      <c r="A70" s="28"/>
      <c r="B70" s="5">
        <v>-3</v>
      </c>
      <c r="C70" s="6">
        <v>690</v>
      </c>
      <c r="D70" s="6">
        <v>600</v>
      </c>
      <c r="E70" s="6">
        <v>-379.57584613545254</v>
      </c>
      <c r="F70" s="6">
        <v>2.912580048602905</v>
      </c>
      <c r="G70" s="6">
        <v>7.673249176038309E-3</v>
      </c>
      <c r="H70" s="24"/>
      <c r="I70" s="24"/>
      <c r="J70" s="6">
        <f>E70+I67</f>
        <v>-378.03588802329995</v>
      </c>
      <c r="K70" s="6">
        <f t="shared" si="32"/>
        <v>2.890733753338095</v>
      </c>
      <c r="L70" s="6">
        <f t="shared" si="38"/>
        <v>7.6467177982846085E-3</v>
      </c>
      <c r="M70" s="24"/>
      <c r="N70" s="24"/>
      <c r="O70" s="6">
        <f>J70+N67</f>
        <v>-378.11099374175967</v>
      </c>
      <c r="P70" s="6">
        <f t="shared" si="33"/>
        <v>2.891797469614684</v>
      </c>
      <c r="Q70" s="6">
        <f t="shared" si="39"/>
        <v>7.6480121379113065E-3</v>
      </c>
      <c r="R70" s="24"/>
      <c r="S70" s="24"/>
      <c r="T70" s="6">
        <f>O70+S67</f>
        <v>-377.17185748188018</v>
      </c>
      <c r="U70" s="6">
        <f t="shared" si="34"/>
        <v>2.8785095087197332</v>
      </c>
      <c r="V70" s="6">
        <f t="shared" si="40"/>
        <v>7.6318247282222548E-3</v>
      </c>
      <c r="W70" s="24"/>
      <c r="X70" s="24"/>
    </row>
    <row r="71" spans="1:24" x14ac:dyDescent="0.25">
      <c r="A71" s="28">
        <v>3</v>
      </c>
      <c r="B71" s="12">
        <v>7</v>
      </c>
      <c r="C71" s="13">
        <v>600</v>
      </c>
      <c r="D71" s="13">
        <v>500</v>
      </c>
      <c r="E71" s="6">
        <v>179.5733849255079</v>
      </c>
      <c r="F71" s="6">
        <v>1.5388201887795683</v>
      </c>
      <c r="G71" s="6">
        <v>8.5693110335805841E-3</v>
      </c>
      <c r="H71" s="22">
        <f>F71+F72+F73-F74-F75</f>
        <v>0.50782510727595609</v>
      </c>
      <c r="I71" s="22">
        <f>-H71/(2*(G71+G72+G73+G74+G75))</f>
        <v>-0.95616054364914826</v>
      </c>
      <c r="J71" s="6">
        <f>E71+I71-I67</f>
        <v>177.07726626970617</v>
      </c>
      <c r="K71" s="6">
        <f t="shared" si="32"/>
        <v>1.4994406152985846</v>
      </c>
      <c r="L71" s="6">
        <f t="shared" si="38"/>
        <v>8.4677194700690066E-3</v>
      </c>
      <c r="M71" s="22">
        <f>K71+K72+K73-K74-K75</f>
        <v>8.3311804709250481E-2</v>
      </c>
      <c r="N71" s="22">
        <f>-M71/(2*(L71+L72+L73+L74+L75))</f>
        <v>-0.16363570572901398</v>
      </c>
      <c r="O71" s="6">
        <f>J71+N71-N67</f>
        <v>176.98873628243686</v>
      </c>
      <c r="P71" s="6">
        <f t="shared" si="33"/>
        <v>1.4980525645713587</v>
      </c>
      <c r="Q71" s="6">
        <f t="shared" si="39"/>
        <v>8.4641124403576819E-3</v>
      </c>
      <c r="R71" s="22">
        <f>P71+P72+P73-P74-P75</f>
        <v>0.16378037801428302</v>
      </c>
      <c r="S71" s="22">
        <f>-R71/(2*(Q71+Q72+Q73+Q74+Q75))</f>
        <v>-0.31692707439458284</v>
      </c>
      <c r="T71" s="6">
        <f>O71+S71-S67</f>
        <v>175.73267294816279</v>
      </c>
      <c r="U71" s="6">
        <f t="shared" si="34"/>
        <v>1.4784226455166718</v>
      </c>
      <c r="V71" s="6">
        <f t="shared" si="40"/>
        <v>8.4129070634051846E-3</v>
      </c>
      <c r="W71" s="22">
        <f>U71+U72+U73-U74-U75</f>
        <v>2.5768523599265514E-3</v>
      </c>
      <c r="X71" s="22">
        <f>-W71/(2*(V71+V72+V73+V74+V75))</f>
        <v>-5.0687250995071773E-3</v>
      </c>
    </row>
    <row r="72" spans="1:24" x14ac:dyDescent="0.25">
      <c r="A72" s="28"/>
      <c r="B72" s="18">
        <v>14</v>
      </c>
      <c r="C72" s="19">
        <v>460</v>
      </c>
      <c r="D72" s="19">
        <v>500</v>
      </c>
      <c r="E72" s="6">
        <v>137.14470145799635</v>
      </c>
      <c r="F72" s="6">
        <v>0.71613335135292211</v>
      </c>
      <c r="G72" s="6">
        <v>5.2217354643646517E-3</v>
      </c>
      <c r="H72" s="23"/>
      <c r="I72" s="23"/>
      <c r="J72" s="6">
        <f>E72+I71-I80</f>
        <v>136.33215126494724</v>
      </c>
      <c r="K72" s="6">
        <f t="shared" si="32"/>
        <v>0.7082952982469749</v>
      </c>
      <c r="L72" s="6">
        <f t="shared" si="38"/>
        <v>5.1953650820816084E-3</v>
      </c>
      <c r="M72" s="23"/>
      <c r="N72" s="23"/>
      <c r="O72" s="6">
        <f>J72+N71-N80</f>
        <v>134.91860323582318</v>
      </c>
      <c r="P72" s="6">
        <f t="shared" si="33"/>
        <v>0.69475450424592278</v>
      </c>
      <c r="Q72" s="6">
        <f t="shared" si="39"/>
        <v>5.1494344559109223E-3</v>
      </c>
      <c r="R72" s="23"/>
      <c r="S72" s="23"/>
      <c r="T72" s="6">
        <f>O72+S71-S80</f>
        <v>134.51155166211558</v>
      </c>
      <c r="U72" s="6">
        <f t="shared" si="34"/>
        <v>0.69087754410196245</v>
      </c>
      <c r="V72" s="6">
        <f t="shared" si="40"/>
        <v>5.1361948885802963E-3</v>
      </c>
      <c r="W72" s="23"/>
      <c r="X72" s="23"/>
    </row>
    <row r="73" spans="1:24" x14ac:dyDescent="0.25">
      <c r="A73" s="28"/>
      <c r="B73" s="16">
        <v>11</v>
      </c>
      <c r="C73" s="17">
        <v>1590</v>
      </c>
      <c r="D73" s="17">
        <v>200</v>
      </c>
      <c r="E73" s="6">
        <v>13.421986212787735</v>
      </c>
      <c r="F73" s="6">
        <v>2.8990930641450268</v>
      </c>
      <c r="G73" s="6">
        <v>0.21599583088402591</v>
      </c>
      <c r="H73" s="23"/>
      <c r="I73" s="23"/>
      <c r="J73" s="6">
        <f>E73+I71-I85</f>
        <v>12.617009137001824</v>
      </c>
      <c r="K73" s="6">
        <f t="shared" si="32"/>
        <v>2.5853345507679206</v>
      </c>
      <c r="L73" s="6">
        <f t="shared" si="38"/>
        <v>0.20490866913822911</v>
      </c>
      <c r="M73" s="23"/>
      <c r="N73" s="23"/>
      <c r="O73" s="6">
        <f>J73+N71-N85</f>
        <v>12.894552498258376</v>
      </c>
      <c r="P73" s="6">
        <f t="shared" si="33"/>
        <v>2.6916456516928484</v>
      </c>
      <c r="Q73" s="6">
        <f t="shared" si="39"/>
        <v>0.20874285106492838</v>
      </c>
      <c r="R73" s="23"/>
      <c r="S73" s="23"/>
      <c r="T73" s="6">
        <f>O73+S71-S85</f>
        <v>12.590067420865122</v>
      </c>
      <c r="U73" s="6">
        <f t="shared" si="34"/>
        <v>2.5751197173222171</v>
      </c>
      <c r="V73" s="6">
        <f t="shared" si="40"/>
        <v>0.20453581630981199</v>
      </c>
      <c r="W73" s="23"/>
      <c r="X73" s="23"/>
    </row>
    <row r="74" spans="1:24" x14ac:dyDescent="0.25">
      <c r="A74" s="28"/>
      <c r="B74" s="5">
        <v>-8</v>
      </c>
      <c r="C74" s="6">
        <v>284</v>
      </c>
      <c r="D74" s="6">
        <v>400</v>
      </c>
      <c r="E74" s="6">
        <v>-111.2024612099446</v>
      </c>
      <c r="F74" s="6">
        <v>0.88890319972307363</v>
      </c>
      <c r="G74" s="6">
        <v>7.9935568876022406E-3</v>
      </c>
      <c r="H74" s="23"/>
      <c r="I74" s="23"/>
      <c r="J74" s="6">
        <f>E74+I71</f>
        <v>-112.15862175359375</v>
      </c>
      <c r="K74" s="6">
        <f t="shared" si="32"/>
        <v>0.90311009157683397</v>
      </c>
      <c r="L74" s="6">
        <f>ABS(K74/J74)</f>
        <v>8.0520790774419159E-3</v>
      </c>
      <c r="M74" s="23"/>
      <c r="N74" s="23"/>
      <c r="O74" s="6">
        <f>J74+N71</f>
        <v>-112.32225745932276</v>
      </c>
      <c r="P74" s="6">
        <f t="shared" si="33"/>
        <v>0.9055518174600572</v>
      </c>
      <c r="Q74" s="6">
        <f>ABS(P74/O74)</f>
        <v>8.0620870515178238E-3</v>
      </c>
      <c r="R74" s="23"/>
      <c r="S74" s="23"/>
      <c r="T74" s="6">
        <f>O74+S71</f>
        <v>-112.63918453371734</v>
      </c>
      <c r="U74" s="6">
        <f t="shared" si="34"/>
        <v>0.91028953801890788</v>
      </c>
      <c r="V74" s="6">
        <f>ABS(U74/T74)</f>
        <v>8.0814642061477499E-3</v>
      </c>
      <c r="W74" s="23"/>
      <c r="X74" s="23"/>
    </row>
    <row r="75" spans="1:24" x14ac:dyDescent="0.25">
      <c r="A75" s="28"/>
      <c r="B75" s="5">
        <v>-4</v>
      </c>
      <c r="C75" s="6">
        <v>835</v>
      </c>
      <c r="D75" s="5">
        <v>400</v>
      </c>
      <c r="E75" s="6">
        <v>-135.28246120994461</v>
      </c>
      <c r="F75" s="6">
        <v>3.7573182972784873</v>
      </c>
      <c r="G75" s="6">
        <v>2.7773875960517246E-2</v>
      </c>
      <c r="H75" s="24"/>
      <c r="I75" s="24"/>
      <c r="J75" s="6">
        <f>E75+I71</f>
        <v>-136.23862175359378</v>
      </c>
      <c r="K75" s="6">
        <f t="shared" si="32"/>
        <v>3.8066485680273958</v>
      </c>
      <c r="L75" s="6">
        <f t="shared" ref="L75" si="41">ABS(K75/J75)</f>
        <v>2.7941038444386508E-2</v>
      </c>
      <c r="M75" s="24"/>
      <c r="N75" s="24"/>
      <c r="O75" s="6">
        <f>J75+N71</f>
        <v>-136.40225745932278</v>
      </c>
      <c r="P75" s="6">
        <f t="shared" si="33"/>
        <v>3.8151205250357894</v>
      </c>
      <c r="Q75" s="6">
        <f t="shared" ref="Q75" si="42">ABS(P75/O75)</f>
        <v>2.7969628920353581E-2</v>
      </c>
      <c r="R75" s="24"/>
      <c r="S75" s="24"/>
      <c r="T75" s="6">
        <f>O75+S71</f>
        <v>-136.71918453371737</v>
      </c>
      <c r="U75" s="6">
        <f t="shared" si="34"/>
        <v>3.8315535165620176</v>
      </c>
      <c r="V75" s="6">
        <f t="shared" ref="V75" si="43">ABS(U75/T75)</f>
        <v>2.802498807778574E-2</v>
      </c>
      <c r="W75" s="24"/>
      <c r="X75" s="24"/>
    </row>
    <row r="76" spans="1:24" x14ac:dyDescent="0.25">
      <c r="A76" s="28">
        <v>4</v>
      </c>
      <c r="B76" s="5">
        <v>12</v>
      </c>
      <c r="C76" s="6">
        <v>385</v>
      </c>
      <c r="D76" s="5">
        <v>400</v>
      </c>
      <c r="E76" s="6">
        <v>100.66077335993535</v>
      </c>
      <c r="F76" s="6">
        <v>1.0020518580480486</v>
      </c>
      <c r="G76" s="6">
        <v>9.9547403084713614E-3</v>
      </c>
      <c r="H76" s="22">
        <f>F76+F77-F78-F79</f>
        <v>-1.2976795326965447</v>
      </c>
      <c r="I76" s="22">
        <f>-H76/(2*(G76+G77+G78+G79))</f>
        <v>1.5944763752559488</v>
      </c>
      <c r="J76" s="6">
        <f>E76+I76</f>
        <v>102.2552497351913</v>
      </c>
      <c r="K76" s="6">
        <f t="shared" si="32"/>
        <v>1.0316461167520703</v>
      </c>
      <c r="L76" s="6">
        <f>ABS(K76/J76)</f>
        <v>1.008893058716992E-2</v>
      </c>
      <c r="M76" s="22">
        <f>K76+K77-K78-K79</f>
        <v>-0.1123977862275729</v>
      </c>
      <c r="N76" s="22">
        <f>-M76/(2*(L76+L77+L78+L79))</f>
        <v>0.16610054489098514</v>
      </c>
      <c r="O76" s="6">
        <f>J76+N76</f>
        <v>102.42135028008228</v>
      </c>
      <c r="P76" s="6">
        <f t="shared" si="33"/>
        <v>1.0347518029335654</v>
      </c>
      <c r="Q76" s="6">
        <f>ABS(P76/O76)</f>
        <v>1.0102891634448526E-2</v>
      </c>
      <c r="R76" s="22">
        <f>P76+P77-P78-P79</f>
        <v>-0.74414736346798249</v>
      </c>
      <c r="S76" s="22">
        <f>-R76/(2*(Q76+Q77+Q78+Q79))</f>
        <v>0.97438601006760117</v>
      </c>
      <c r="T76" s="6">
        <f>O76+S76</f>
        <v>103.39573629014988</v>
      </c>
      <c r="U76" s="6">
        <f t="shared" si="34"/>
        <v>1.0530569586522944</v>
      </c>
      <c r="V76" s="6">
        <f>ABS(U76/T76)</f>
        <v>1.0184723243298914E-2</v>
      </c>
      <c r="W76" s="22">
        <f>U76+U77-U78-U79</f>
        <v>-0.14288601231107489</v>
      </c>
      <c r="X76" s="22">
        <f>-W76/(2*(V76+V77+V78+V79))</f>
        <v>0.20597602722377351</v>
      </c>
    </row>
    <row r="77" spans="1:24" x14ac:dyDescent="0.25">
      <c r="A77" s="28"/>
      <c r="B77" s="5">
        <v>17</v>
      </c>
      <c r="C77" s="6">
        <v>320</v>
      </c>
      <c r="D77" s="5">
        <v>300</v>
      </c>
      <c r="E77" s="6">
        <v>79.190773359935349</v>
      </c>
      <c r="F77" s="6">
        <v>2.1680995396295404</v>
      </c>
      <c r="G77" s="6">
        <v>2.7378183690354486E-2</v>
      </c>
      <c r="H77" s="23"/>
      <c r="I77" s="23"/>
      <c r="J77" s="6">
        <f>E77+I76</f>
        <v>80.7852497351913</v>
      </c>
      <c r="K77" s="6">
        <f t="shared" si="32"/>
        <v>2.2496392692608791</v>
      </c>
      <c r="L77" s="6">
        <f t="shared" ref="L77" si="44">ABS(K77/J77)</f>
        <v>2.7847153739513682E-2</v>
      </c>
      <c r="M77" s="23"/>
      <c r="N77" s="23"/>
      <c r="O77" s="6">
        <f>J77+N76</f>
        <v>80.951350280082281</v>
      </c>
      <c r="P77" s="6">
        <f t="shared" si="33"/>
        <v>2.2582130631753272</v>
      </c>
      <c r="Q77" s="6">
        <f t="shared" ref="Q77" si="45">ABS(P77/O77)</f>
        <v>2.7895928299678411E-2</v>
      </c>
      <c r="R77" s="23"/>
      <c r="S77" s="23"/>
      <c r="T77" s="6">
        <f>O77+S76</f>
        <v>81.925736290149885</v>
      </c>
      <c r="U77" s="6">
        <f t="shared" si="34"/>
        <v>2.3088109920265873</v>
      </c>
      <c r="V77" s="6">
        <f t="shared" ref="V77" si="46">ABS(U77/T77)</f>
        <v>2.8181754556952099E-2</v>
      </c>
      <c r="W77" s="23"/>
      <c r="X77" s="23"/>
    </row>
    <row r="78" spans="1:24" x14ac:dyDescent="0.25">
      <c r="A78" s="28"/>
      <c r="B78" s="10">
        <v>-13</v>
      </c>
      <c r="C78" s="11">
        <v>1020</v>
      </c>
      <c r="D78" s="10">
        <v>150</v>
      </c>
      <c r="E78" s="6">
        <v>-7.5920639721236949</v>
      </c>
      <c r="F78" s="6">
        <v>2.6280076084341748</v>
      </c>
      <c r="G78" s="6">
        <v>0.3461519315542666</v>
      </c>
      <c r="H78" s="23"/>
      <c r="I78" s="23"/>
      <c r="J78" s="6">
        <f>E78+I76-I80</f>
        <v>-5.8539772462676902</v>
      </c>
      <c r="K78" s="6">
        <f t="shared" si="32"/>
        <v>1.6237511334402555</v>
      </c>
      <c r="L78" s="6">
        <f>ABS(K78/J78)</f>
        <v>0.27737571656526466</v>
      </c>
      <c r="M78" s="23"/>
      <c r="N78" s="23"/>
      <c r="O78" s="6">
        <f>J78+N76-N80</f>
        <v>-6.937789024771754</v>
      </c>
      <c r="P78" s="6">
        <f t="shared" si="33"/>
        <v>2.2240349942550899</v>
      </c>
      <c r="Q78" s="6">
        <f>ABS(P78/O78)</f>
        <v>0.32056826552581114</v>
      </c>
      <c r="R78" s="23"/>
      <c r="S78" s="23"/>
      <c r="T78" s="6">
        <f>O78+S76-S80</f>
        <v>-6.0535275140171727</v>
      </c>
      <c r="U78" s="6">
        <f t="shared" si="34"/>
        <v>1.7277461738097135</v>
      </c>
      <c r="V78" s="6">
        <f>ABS(U78/T78)</f>
        <v>0.28541146791008248</v>
      </c>
      <c r="W78" s="23"/>
      <c r="X78" s="23"/>
    </row>
    <row r="79" spans="1:24" x14ac:dyDescent="0.25">
      <c r="A79" s="28"/>
      <c r="B79" s="8">
        <v>-9</v>
      </c>
      <c r="C79" s="9">
        <v>1121</v>
      </c>
      <c r="D79" s="8">
        <v>400</v>
      </c>
      <c r="E79" s="6">
        <v>-78.474593413494659</v>
      </c>
      <c r="F79" s="6">
        <v>1.8398233219399591</v>
      </c>
      <c r="G79" s="6">
        <v>2.3444827706792286E-2</v>
      </c>
      <c r="H79" s="24"/>
      <c r="I79" s="24"/>
      <c r="J79" s="6">
        <f>E79+I76-I63</f>
        <v>-76.850598693333964</v>
      </c>
      <c r="K79" s="6">
        <f t="shared" si="32"/>
        <v>1.7699320388002666</v>
      </c>
      <c r="L79" s="6">
        <f t="shared" ref="L79:L88" si="47">ABS(K79/J79)</f>
        <v>2.3030816530955546E-2</v>
      </c>
      <c r="M79" s="24"/>
      <c r="N79" s="24"/>
      <c r="O79" s="6">
        <f>J79+N76-N63</f>
        <v>-77.856530955824894</v>
      </c>
      <c r="P79" s="6">
        <f t="shared" si="33"/>
        <v>1.8130772353217852</v>
      </c>
      <c r="Q79" s="6">
        <f t="shared" ref="Q79:Q88" si="48">ABS(P79/O79)</f>
        <v>2.3287413567790596E-2</v>
      </c>
      <c r="R79" s="24"/>
      <c r="S79" s="24"/>
      <c r="T79" s="6">
        <f>O79+S76-S63</f>
        <v>-77.016337196974902</v>
      </c>
      <c r="U79" s="6">
        <f t="shared" si="34"/>
        <v>1.7770077891802429</v>
      </c>
      <c r="V79" s="6">
        <f t="shared" ref="V79:V88" si="49">ABS(U79/T79)</f>
        <v>2.3073127778531141E-2</v>
      </c>
      <c r="W79" s="24"/>
      <c r="X79" s="24"/>
    </row>
    <row r="80" spans="1:24" x14ac:dyDescent="0.25">
      <c r="A80" s="29">
        <v>5</v>
      </c>
      <c r="B80" s="10">
        <v>13</v>
      </c>
      <c r="C80" s="11">
        <v>1020</v>
      </c>
      <c r="D80" s="10">
        <v>150</v>
      </c>
      <c r="E80" s="6">
        <v>7.5920639721237011</v>
      </c>
      <c r="F80" s="6">
        <v>2.6280076084341797</v>
      </c>
      <c r="G80" s="6">
        <v>0.34615193155426699</v>
      </c>
      <c r="H80" s="22">
        <f>F80+F81-F82-F83-F84</f>
        <v>0.1410929491313575</v>
      </c>
      <c r="I80" s="22">
        <f>-H80/(2*(G80+G81+G82+G83+G84))</f>
        <v>-0.14361035060005509</v>
      </c>
      <c r="J80" s="6">
        <f>E80+I80-I76</f>
        <v>5.8539772462676964</v>
      </c>
      <c r="K80" s="6">
        <f t="shared" si="32"/>
        <v>1.6237511334402583</v>
      </c>
      <c r="L80" s="6">
        <f t="shared" si="47"/>
        <v>0.27737571656526488</v>
      </c>
      <c r="M80" s="22">
        <f>K80+K81-K82-K83-K84</f>
        <v>-1.0613383453084571</v>
      </c>
      <c r="N80" s="22">
        <f>-M80/(2*(L80+L81+L82+L83+L84))</f>
        <v>1.2499123233950487</v>
      </c>
      <c r="O80" s="6">
        <f>J80+N80-N76</f>
        <v>6.9377890247717602</v>
      </c>
      <c r="P80" s="6">
        <f t="shared" si="33"/>
        <v>2.2240349942550939</v>
      </c>
      <c r="Q80" s="6">
        <f t="shared" si="48"/>
        <v>0.32056826552581141</v>
      </c>
      <c r="R80" s="22">
        <f>P80+P81-P82-P83-P84</f>
        <v>-8.396011935806813E-2</v>
      </c>
      <c r="S80" s="22">
        <f>-R80/(2*(Q80+Q81+Q82+Q83+Q84))</f>
        <v>9.0124499313020093E-2</v>
      </c>
      <c r="T80" s="6">
        <f>O80+S80-S76</f>
        <v>6.0535275140171789</v>
      </c>
      <c r="U80" s="6">
        <f t="shared" si="34"/>
        <v>1.7277461738097171</v>
      </c>
      <c r="V80" s="6">
        <f t="shared" si="49"/>
        <v>0.28541146791008276</v>
      </c>
      <c r="W80" s="22">
        <f>U80+U81-U82-U83-U84</f>
        <v>-0.66075504791417217</v>
      </c>
      <c r="X80" s="22">
        <f>-W80/(2*(V80+V81+V82+V83+V84))</f>
        <v>0.76520065958605221</v>
      </c>
    </row>
    <row r="81" spans="1:24" x14ac:dyDescent="0.25">
      <c r="A81" s="30"/>
      <c r="B81" s="5">
        <v>18</v>
      </c>
      <c r="C81" s="6">
        <v>651</v>
      </c>
      <c r="D81" s="5">
        <v>300</v>
      </c>
      <c r="E81" s="6">
        <v>58.892837332059052</v>
      </c>
      <c r="F81" s="6">
        <v>2.5487110811522937</v>
      </c>
      <c r="G81" s="6">
        <v>4.3277097803621545E-2</v>
      </c>
      <c r="H81" s="23"/>
      <c r="I81" s="23"/>
      <c r="J81" s="6">
        <f>E81+I80</f>
        <v>58.749226981458996</v>
      </c>
      <c r="K81" s="6">
        <f t="shared" si="32"/>
        <v>2.5372127868903198</v>
      </c>
      <c r="L81" s="6">
        <f t="shared" si="47"/>
        <v>4.3187168874427119E-2</v>
      </c>
      <c r="M81" s="23"/>
      <c r="N81" s="23"/>
      <c r="O81" s="6">
        <f>J81+N80</f>
        <v>59.999139304854047</v>
      </c>
      <c r="P81" s="6">
        <f>10.67*((ABS(O81)/1000)^1.852)*C81/((100^1.852)*(D81/1000)^4.87)</f>
        <v>2.6380891960448483</v>
      </c>
      <c r="Q81" s="6">
        <f t="shared" si="48"/>
        <v>4.3968783996063451E-2</v>
      </c>
      <c r="R81" s="23"/>
      <c r="S81" s="23"/>
      <c r="T81" s="6">
        <f>O81+S80</f>
        <v>60.089263804167068</v>
      </c>
      <c r="U81" s="6">
        <f t="shared" si="34"/>
        <v>2.6454327466987309</v>
      </c>
      <c r="V81" s="6">
        <f t="shared" si="49"/>
        <v>4.4025048390013317E-2</v>
      </c>
      <c r="W81" s="23"/>
      <c r="X81" s="23"/>
    </row>
    <row r="82" spans="1:24" x14ac:dyDescent="0.25">
      <c r="A82" s="30"/>
      <c r="B82" s="14">
        <f>-15</f>
        <v>-15</v>
      </c>
      <c r="C82" s="15">
        <v>570</v>
      </c>
      <c r="D82" s="14">
        <v>300</v>
      </c>
      <c r="E82" s="6">
        <v>-53.932715245208598</v>
      </c>
      <c r="F82" s="6">
        <v>1.8960474304456567</v>
      </c>
      <c r="G82" s="6">
        <v>3.5155794063494741E-2</v>
      </c>
      <c r="H82" s="23"/>
      <c r="I82" s="23"/>
      <c r="J82" s="6">
        <f>E82+I80-I85</f>
        <v>-53.925142127945421</v>
      </c>
      <c r="K82" s="6">
        <f t="shared" si="32"/>
        <v>1.8955543854034906</v>
      </c>
      <c r="L82" s="6">
        <f t="shared" si="47"/>
        <v>3.515158812017604E-2</v>
      </c>
      <c r="M82" s="23"/>
      <c r="N82" s="23"/>
      <c r="O82" s="6">
        <f>J82+N80-N85</f>
        <v>-52.234050737564807</v>
      </c>
      <c r="P82" s="6">
        <f t="shared" si="33"/>
        <v>1.7869361270197337</v>
      </c>
      <c r="Q82" s="6">
        <f t="shared" si="48"/>
        <v>3.4210177112200015E-2</v>
      </c>
      <c r="R82" s="23"/>
      <c r="S82" s="23"/>
      <c r="T82" s="6">
        <f>O82+S80-S85</f>
        <v>-52.131484241250455</v>
      </c>
      <c r="U82" s="6">
        <f t="shared" si="34"/>
        <v>1.7804432323990143</v>
      </c>
      <c r="V82" s="6">
        <f t="shared" si="49"/>
        <v>3.4152935760654791E-2</v>
      </c>
      <c r="W82" s="23"/>
      <c r="X82" s="23"/>
    </row>
    <row r="83" spans="1:24" x14ac:dyDescent="0.25">
      <c r="A83" s="30"/>
      <c r="B83" s="18">
        <v>-14</v>
      </c>
      <c r="C83" s="19">
        <v>460</v>
      </c>
      <c r="D83" s="18">
        <v>500</v>
      </c>
      <c r="E83" s="6">
        <v>-137.14470145799635</v>
      </c>
      <c r="F83" s="6">
        <v>0.71613335135292211</v>
      </c>
      <c r="G83" s="6">
        <v>5.2217354643646517E-3</v>
      </c>
      <c r="H83" s="23"/>
      <c r="I83" s="23"/>
      <c r="J83" s="6">
        <f>E83+I80-I71</f>
        <v>-136.33215126494724</v>
      </c>
      <c r="K83" s="6">
        <f t="shared" si="32"/>
        <v>0.7082952982469749</v>
      </c>
      <c r="L83" s="6">
        <f t="shared" si="47"/>
        <v>5.1953650820816084E-3</v>
      </c>
      <c r="M83" s="23"/>
      <c r="N83" s="23"/>
      <c r="O83" s="6">
        <f>J83+N80-N71</f>
        <v>-134.91860323582318</v>
      </c>
      <c r="P83" s="6">
        <f t="shared" si="33"/>
        <v>0.69475450424592278</v>
      </c>
      <c r="Q83" s="6">
        <f t="shared" si="48"/>
        <v>5.1494344559109223E-3</v>
      </c>
      <c r="R83" s="23"/>
      <c r="S83" s="23"/>
      <c r="T83" s="6">
        <f>O83+S80-S71</f>
        <v>-134.51155166211558</v>
      </c>
      <c r="U83" s="6">
        <f t="shared" si="34"/>
        <v>0.69087754410196245</v>
      </c>
      <c r="V83" s="6">
        <f t="shared" si="49"/>
        <v>5.1361948885802963E-3</v>
      </c>
      <c r="W83" s="23"/>
      <c r="X83" s="23"/>
    </row>
    <row r="84" spans="1:24" x14ac:dyDescent="0.25">
      <c r="A84" s="31"/>
      <c r="B84" s="20">
        <v>-10</v>
      </c>
      <c r="C84" s="21">
        <v>1300</v>
      </c>
      <c r="D84" s="20">
        <v>300</v>
      </c>
      <c r="E84" s="6">
        <v>-39.451316532488413</v>
      </c>
      <c r="F84" s="6">
        <v>2.4234449586565372</v>
      </c>
      <c r="G84" s="6">
        <v>6.1428747419894458E-2</v>
      </c>
      <c r="H84" s="24"/>
      <c r="I84" s="24"/>
      <c r="J84" s="6">
        <f>E84+I80-I67</f>
        <v>-41.134884995241038</v>
      </c>
      <c r="K84" s="6">
        <f t="shared" si="32"/>
        <v>2.6184525819885702</v>
      </c>
      <c r="L84" s="6">
        <f t="shared" si="47"/>
        <v>6.3655279023911299E-2</v>
      </c>
      <c r="M84" s="24"/>
      <c r="N84" s="24"/>
      <c r="O84" s="6">
        <f>J84+N80-N67</f>
        <v>-39.80986695338629</v>
      </c>
      <c r="P84" s="6">
        <f t="shared" si="33"/>
        <v>2.4643936783923541</v>
      </c>
      <c r="Q84" s="6">
        <f t="shared" si="48"/>
        <v>6.1904092301487308E-2</v>
      </c>
      <c r="R84" s="24"/>
      <c r="S84" s="24"/>
      <c r="T84" s="6">
        <f>O84+S80-S67</f>
        <v>-40.658878713952753</v>
      </c>
      <c r="U84" s="6">
        <f t="shared" si="34"/>
        <v>2.5626131919216428</v>
      </c>
      <c r="V84" s="6">
        <f t="shared" si="49"/>
        <v>6.3027148632169253E-2</v>
      </c>
      <c r="W84" s="24"/>
      <c r="X84" s="24"/>
    </row>
    <row r="85" spans="1:24" x14ac:dyDescent="0.25">
      <c r="A85" s="28">
        <v>6</v>
      </c>
      <c r="B85" s="14">
        <v>15</v>
      </c>
      <c r="C85" s="15">
        <v>570</v>
      </c>
      <c r="D85" s="14">
        <v>300</v>
      </c>
      <c r="E85" s="6">
        <v>53.932715245208612</v>
      </c>
      <c r="F85" s="6">
        <v>1.8960474304456567</v>
      </c>
      <c r="G85" s="6">
        <v>3.5155794063494734E-2</v>
      </c>
      <c r="H85" s="22">
        <f>F85+F86-F87-F88</f>
        <v>0.13853931707384115</v>
      </c>
      <c r="I85" s="22">
        <f>-H85/(2*(G85+G86+G87+G88))</f>
        <v>-0.151183467863237</v>
      </c>
      <c r="J85" s="6">
        <f>E85+I85-I80</f>
        <v>53.925142127945435</v>
      </c>
      <c r="K85" s="6">
        <f t="shared" si="32"/>
        <v>1.895554385403492</v>
      </c>
      <c r="L85" s="6">
        <f t="shared" si="47"/>
        <v>3.5151588120176054E-2</v>
      </c>
      <c r="M85" s="22">
        <f>K85+K86-K87-K88</f>
        <v>0.39392769940594441</v>
      </c>
      <c r="N85" s="22">
        <f>-M85/(2*(L85+L86+L87+L88))</f>
        <v>-0.44117906698556542</v>
      </c>
      <c r="O85" s="6">
        <f>J85+N85-N80</f>
        <v>52.234050737564822</v>
      </c>
      <c r="P85" s="6">
        <f t="shared" si="33"/>
        <v>1.786936127019735</v>
      </c>
      <c r="Q85" s="6">
        <f t="shared" si="48"/>
        <v>3.4210177112200028E-2</v>
      </c>
      <c r="R85" s="22">
        <f>P85+P86-P87-P88</f>
        <v>1.1134534562605047E-2</v>
      </c>
      <c r="S85" s="22">
        <f>-R85/(2*(Q85+Q86+Q87+Q88))</f>
        <v>-1.2441997001328559E-2</v>
      </c>
      <c r="T85" s="6">
        <f>O85+S85-S80</f>
        <v>52.131484241250469</v>
      </c>
      <c r="U85" s="6">
        <f t="shared" si="34"/>
        <v>1.7804432323990158</v>
      </c>
      <c r="V85" s="6">
        <f t="shared" si="49"/>
        <v>3.4152935760654812E-2</v>
      </c>
      <c r="W85" s="22">
        <f>U85+U86-U87-U88</f>
        <v>0.11645587374039534</v>
      </c>
      <c r="X85" s="22">
        <f>-W85/(2*(V85+V86+V87+V88))</f>
        <v>-0.13139848181786318</v>
      </c>
    </row>
    <row r="86" spans="1:24" x14ac:dyDescent="0.25">
      <c r="A86" s="28"/>
      <c r="B86" s="5">
        <v>19</v>
      </c>
      <c r="C86" s="6">
        <v>791</v>
      </c>
      <c r="D86" s="5">
        <v>200</v>
      </c>
      <c r="E86" s="6">
        <v>18.79555257726766</v>
      </c>
      <c r="F86" s="6">
        <v>2.6907593988122747</v>
      </c>
      <c r="G86" s="6">
        <v>0.14315936643792118</v>
      </c>
      <c r="H86" s="23"/>
      <c r="I86" s="23"/>
      <c r="J86" s="6">
        <f>E86+I85</f>
        <v>18.644369109404423</v>
      </c>
      <c r="K86" s="6">
        <f t="shared" si="32"/>
        <v>2.6508133557324354</v>
      </c>
      <c r="L86" s="6">
        <f t="shared" si="47"/>
        <v>0.14217769130065852</v>
      </c>
      <c r="M86" s="23"/>
      <c r="N86" s="23"/>
      <c r="O86" s="6">
        <f>J86+N85</f>
        <v>18.203190042418857</v>
      </c>
      <c r="P86" s="6">
        <f t="shared" si="33"/>
        <v>2.5358175308129445</v>
      </c>
      <c r="Q86" s="6">
        <f t="shared" si="48"/>
        <v>0.13930621637766424</v>
      </c>
      <c r="R86" s="23"/>
      <c r="S86" s="23"/>
      <c r="T86" s="6">
        <f>O86+S85</f>
        <v>18.190748045417529</v>
      </c>
      <c r="U86" s="6">
        <f t="shared" si="34"/>
        <v>2.5326084910857269</v>
      </c>
      <c r="V86" s="6">
        <f t="shared" si="49"/>
        <v>0.13922508765238611</v>
      </c>
      <c r="W86" s="23"/>
      <c r="X86" s="23"/>
    </row>
    <row r="87" spans="1:24" x14ac:dyDescent="0.25">
      <c r="A87" s="28"/>
      <c r="B87" s="5">
        <v>-16</v>
      </c>
      <c r="C87" s="6">
        <v>284</v>
      </c>
      <c r="D87" s="5">
        <v>200</v>
      </c>
      <c r="E87" s="6">
        <v>-24.254447422732337</v>
      </c>
      <c r="F87" s="6">
        <v>1.549174448039063</v>
      </c>
      <c r="G87" s="6">
        <v>6.387176838286196E-2</v>
      </c>
      <c r="H87" s="23"/>
      <c r="I87" s="23"/>
      <c r="J87" s="6">
        <f>E87+I85</f>
        <v>-24.405630890595575</v>
      </c>
      <c r="K87" s="6">
        <f t="shared" si="32"/>
        <v>1.567105490962063</v>
      </c>
      <c r="L87" s="6">
        <f t="shared" si="47"/>
        <v>6.4210816675340635E-2</v>
      </c>
      <c r="M87" s="23"/>
      <c r="N87" s="23"/>
      <c r="O87" s="6">
        <f>J87+N85</f>
        <v>-24.84680995758114</v>
      </c>
      <c r="P87" s="6">
        <f t="shared" si="33"/>
        <v>1.6199734715772212</v>
      </c>
      <c r="Q87" s="6">
        <f t="shared" si="48"/>
        <v>6.5198448989744154E-2</v>
      </c>
      <c r="R87" s="23"/>
      <c r="S87" s="23"/>
      <c r="T87" s="6">
        <f>O87+S85</f>
        <v>-24.859251954582469</v>
      </c>
      <c r="U87" s="6">
        <f t="shared" si="34"/>
        <v>1.6214761324221256</v>
      </c>
      <c r="V87" s="6">
        <f t="shared" si="49"/>
        <v>6.5226264063960634E-2</v>
      </c>
      <c r="W87" s="23"/>
      <c r="X87" s="23"/>
    </row>
    <row r="88" spans="1:24" x14ac:dyDescent="0.25">
      <c r="A88" s="28"/>
      <c r="B88" s="16">
        <v>-11</v>
      </c>
      <c r="C88" s="17">
        <v>1590</v>
      </c>
      <c r="D88" s="16">
        <v>200</v>
      </c>
      <c r="E88" s="6">
        <v>-13.421986212787738</v>
      </c>
      <c r="F88" s="6">
        <v>2.8990930641450268</v>
      </c>
      <c r="G88" s="6">
        <v>0.21599583088402585</v>
      </c>
      <c r="H88" s="24"/>
      <c r="I88" s="24"/>
      <c r="J88" s="6">
        <f>E88+I85-I71</f>
        <v>-12.617009137001828</v>
      </c>
      <c r="K88" s="6">
        <f t="shared" si="32"/>
        <v>2.5853345507679206</v>
      </c>
      <c r="L88" s="6">
        <f t="shared" si="47"/>
        <v>0.20490866913822905</v>
      </c>
      <c r="M88" s="24"/>
      <c r="N88" s="24"/>
      <c r="O88" s="6">
        <f>J88+N85-N71</f>
        <v>-12.894552498258379</v>
      </c>
      <c r="P88" s="6">
        <f t="shared" si="33"/>
        <v>2.6916456516928533</v>
      </c>
      <c r="Q88" s="6">
        <f t="shared" si="48"/>
        <v>0.20874285106492871</v>
      </c>
      <c r="R88" s="24"/>
      <c r="S88" s="24"/>
      <c r="T88" s="6">
        <f>O88+S85-S71</f>
        <v>-12.590067420865125</v>
      </c>
      <c r="U88" s="6">
        <f t="shared" si="34"/>
        <v>2.575119717322222</v>
      </c>
      <c r="V88" s="6">
        <f t="shared" si="49"/>
        <v>0.20453581630981232</v>
      </c>
      <c r="W88" s="24"/>
      <c r="X88" s="24"/>
    </row>
    <row r="91" spans="1:24" x14ac:dyDescent="0.25">
      <c r="A91" s="32" t="s">
        <v>0</v>
      </c>
      <c r="B91" s="33" t="s">
        <v>1</v>
      </c>
      <c r="C91" s="34" t="s">
        <v>2</v>
      </c>
      <c r="D91" s="34" t="s">
        <v>3</v>
      </c>
      <c r="E91" s="25" t="s">
        <v>19</v>
      </c>
      <c r="F91" s="25"/>
      <c r="G91" s="25"/>
      <c r="H91" s="26" t="s">
        <v>5</v>
      </c>
      <c r="I91" s="26" t="s">
        <v>6</v>
      </c>
      <c r="J91" s="25" t="s">
        <v>20</v>
      </c>
      <c r="K91" s="25"/>
      <c r="L91" s="25"/>
      <c r="M91" s="26" t="s">
        <v>5</v>
      </c>
      <c r="N91" s="26" t="s">
        <v>6</v>
      </c>
      <c r="O91" s="25" t="s">
        <v>21</v>
      </c>
      <c r="P91" s="25"/>
      <c r="Q91" s="25"/>
      <c r="R91" s="26" t="s">
        <v>5</v>
      </c>
      <c r="S91" s="26" t="s">
        <v>6</v>
      </c>
      <c r="T91" s="25" t="s">
        <v>22</v>
      </c>
      <c r="U91" s="25"/>
      <c r="V91" s="25"/>
      <c r="W91" s="26" t="s">
        <v>5</v>
      </c>
      <c r="X91" s="26" t="s">
        <v>6</v>
      </c>
    </row>
    <row r="92" spans="1:24" x14ac:dyDescent="0.25">
      <c r="A92" s="32"/>
      <c r="B92" s="33"/>
      <c r="C92" s="35"/>
      <c r="D92" s="35"/>
      <c r="E92" s="1" t="s">
        <v>7</v>
      </c>
      <c r="F92" s="1" t="s">
        <v>8</v>
      </c>
      <c r="G92" s="2" t="s">
        <v>9</v>
      </c>
      <c r="H92" s="27"/>
      <c r="I92" s="27"/>
      <c r="J92" s="1" t="s">
        <v>7</v>
      </c>
      <c r="K92" s="1" t="s">
        <v>8</v>
      </c>
      <c r="L92" s="2" t="s">
        <v>9</v>
      </c>
      <c r="M92" s="27"/>
      <c r="N92" s="27"/>
      <c r="O92" s="1" t="s">
        <v>7</v>
      </c>
      <c r="P92" s="1" t="s">
        <v>8</v>
      </c>
      <c r="Q92" s="2" t="s">
        <v>9</v>
      </c>
      <c r="R92" s="27"/>
      <c r="S92" s="27"/>
      <c r="T92" s="1" t="s">
        <v>7</v>
      </c>
      <c r="U92" s="1" t="s">
        <v>8</v>
      </c>
      <c r="V92" s="2" t="s">
        <v>9</v>
      </c>
      <c r="W92" s="27"/>
      <c r="X92" s="27"/>
    </row>
    <row r="93" spans="1:24" x14ac:dyDescent="0.25">
      <c r="A93" s="28">
        <v>1</v>
      </c>
      <c r="B93" s="5">
        <v>5</v>
      </c>
      <c r="C93" s="6">
        <v>847</v>
      </c>
      <c r="D93" s="6">
        <v>600</v>
      </c>
      <c r="E93" s="6">
        <v>252.07207348712481</v>
      </c>
      <c r="F93" s="6">
        <v>1.6752323362213477</v>
      </c>
      <c r="G93" s="6">
        <v>6.6458466146068901E-3</v>
      </c>
      <c r="H93" s="22">
        <f>F93+F94-F95-F96</f>
        <v>-7.148231597034882E-2</v>
      </c>
      <c r="I93" s="22">
        <f>-H93/(2*(G93+G94+G95+G96))</f>
        <v>0.72578222728644448</v>
      </c>
      <c r="J93" s="6">
        <f>E93+I93</f>
        <v>252.79785571441124</v>
      </c>
      <c r="K93" s="6">
        <f>10.67*((ABS(J93)/1000)^1.852)*C93/((100^1.852)*(D93/1000)^4.87)</f>
        <v>1.6841762975818653</v>
      </c>
      <c r="L93" s="6">
        <f>ABS(K93/J93)</f>
        <v>6.6621462940116838E-3</v>
      </c>
      <c r="M93" s="22">
        <f>K93+K94-K95-K96</f>
        <v>-1.7536178186246421E-2</v>
      </c>
      <c r="N93" s="22">
        <f>-M93/(2*(L93+L94+L95+L96))</f>
        <v>0.1778145523550797</v>
      </c>
      <c r="O93" s="6">
        <f>J93+N93</f>
        <v>252.97567026676631</v>
      </c>
      <c r="P93" s="6">
        <f>10.67*((ABS(O93)/1000)^1.852)*C93/((100^1.852)*(D93/1000)^4.87)</f>
        <v>1.6863708833443607</v>
      </c>
      <c r="Q93" s="6">
        <f>ABS(P93/O93)</f>
        <v>6.6661386115354866E-3</v>
      </c>
      <c r="R93" s="22">
        <f>P93+P94-P95-P96</f>
        <v>-4.6002628644178145E-2</v>
      </c>
      <c r="S93" s="22">
        <f>-R93/(2*(Q93+Q94+Q95+Q96))</f>
        <v>0.46697907783797676</v>
      </c>
      <c r="T93" s="6">
        <f>O93+S93</f>
        <v>253.44264934460429</v>
      </c>
      <c r="U93" s="6">
        <f>10.67*((ABS(T93)/1000)^1.852)*C93/((100^1.852)*(D93/1000)^4.87)</f>
        <v>1.6921405948372903</v>
      </c>
      <c r="V93" s="6">
        <f>ABS(U93/T93)</f>
        <v>6.6766213153670829E-3</v>
      </c>
      <c r="W93" s="22">
        <f>U93+U94-U95-U96</f>
        <v>-1.7238136984970565E-2</v>
      </c>
      <c r="X93" s="22">
        <f>-W93/(2*(V93+V94+V95+V96))</f>
        <v>0.17486034894798536</v>
      </c>
    </row>
    <row r="94" spans="1:24" x14ac:dyDescent="0.25">
      <c r="A94" s="28"/>
      <c r="B94" s="8">
        <v>9</v>
      </c>
      <c r="C94" s="9">
        <v>1121</v>
      </c>
      <c r="D94" s="9">
        <v>400</v>
      </c>
      <c r="E94" s="6">
        <v>77.016337196974874</v>
      </c>
      <c r="F94" s="6">
        <v>1.7770077891802409</v>
      </c>
      <c r="G94" s="6">
        <v>2.3073127778531124E-2</v>
      </c>
      <c r="H94" s="23"/>
      <c r="I94" s="23"/>
      <c r="J94" s="6">
        <f>E94+I93-I106</f>
        <v>77.536143397037549</v>
      </c>
      <c r="K94" s="6">
        <f t="shared" ref="K94:K118" si="50">10.67*((ABS(J94)/1000)^1.852)*C94/((100^1.852)*(D94/1000)^4.87)</f>
        <v>1.7992836957287337</v>
      </c>
      <c r="L94" s="6">
        <f>ABS(K94/J94)</f>
        <v>2.3205741437450442E-2</v>
      </c>
      <c r="M94" s="23"/>
      <c r="N94" s="23"/>
      <c r="O94" s="6">
        <f>J94+N93-N106</f>
        <v>77.094416403732197</v>
      </c>
      <c r="P94" s="6">
        <f t="shared" ref="P94:P118" si="51">10.67*((ABS(O94)/1000)^1.852)*C94/((100^1.852)*(D94/1000)^4.87)</f>
        <v>1.7803456664097352</v>
      </c>
      <c r="Q94" s="6">
        <f>ABS(P94/O94)</f>
        <v>2.3093055884700196E-2</v>
      </c>
      <c r="R94" s="23"/>
      <c r="S94" s="23"/>
      <c r="T94" s="6">
        <f>O94+S93-S106</f>
        <v>77.356064832127956</v>
      </c>
      <c r="U94" s="6">
        <f t="shared" ref="U94:U118" si="52">10.67*((ABS(T94)/1000)^1.852)*C94/((100^1.852)*(D94/1000)^4.87)</f>
        <v>1.7915521112818067</v>
      </c>
      <c r="V94" s="6">
        <f>ABS(U94/T94)</f>
        <v>2.3159814491206243E-2</v>
      </c>
      <c r="W94" s="23"/>
      <c r="X94" s="23"/>
    </row>
    <row r="95" spans="1:24" x14ac:dyDescent="0.25">
      <c r="A95" s="28"/>
      <c r="B95" s="3">
        <v>-6</v>
      </c>
      <c r="C95" s="4">
        <v>1075</v>
      </c>
      <c r="D95" s="4">
        <v>450</v>
      </c>
      <c r="E95" s="6">
        <v>-107.23606903099505</v>
      </c>
      <c r="F95" s="6">
        <v>1.7726347620242833</v>
      </c>
      <c r="G95" s="6">
        <v>1.6530210199256077E-2</v>
      </c>
      <c r="H95" s="23"/>
      <c r="I95" s="23"/>
      <c r="J95" s="6">
        <f>E95+I93-I97</f>
        <v>-106.62369541302438</v>
      </c>
      <c r="K95" s="6">
        <f t="shared" si="50"/>
        <v>1.753933205905478</v>
      </c>
      <c r="L95" s="6">
        <f t="shared" ref="L95" si="53">ABS(K95/J95)</f>
        <v>1.644975067794574E-2</v>
      </c>
      <c r="M95" s="23"/>
      <c r="N95" s="23"/>
      <c r="O95" s="6">
        <f>J95+N93-N97</f>
        <v>-107.04015101390267</v>
      </c>
      <c r="P95" s="6">
        <f t="shared" si="51"/>
        <v>1.7666416062694219</v>
      </c>
      <c r="Q95" s="6">
        <f t="shared" ref="Q95" si="54">ABS(P95/O95)</f>
        <v>1.6504476026383462E-2</v>
      </c>
      <c r="R95" s="23"/>
      <c r="S95" s="23"/>
      <c r="T95" s="6">
        <f>O95+S93-S97</f>
        <v>-106.73874866517211</v>
      </c>
      <c r="U95" s="6">
        <f t="shared" si="52"/>
        <v>1.7574399072592695</v>
      </c>
      <c r="V95" s="6">
        <f t="shared" ref="V95" si="55">ABS(U95/T95)</f>
        <v>1.6464872684353534E-2</v>
      </c>
      <c r="W95" s="23"/>
      <c r="X95" s="23"/>
    </row>
    <row r="96" spans="1:24" x14ac:dyDescent="0.25">
      <c r="A96" s="28"/>
      <c r="B96" s="5">
        <v>-2</v>
      </c>
      <c r="C96" s="6">
        <v>757</v>
      </c>
      <c r="D96" s="6">
        <v>800</v>
      </c>
      <c r="E96" s="6">
        <v>-584.5079265128752</v>
      </c>
      <c r="F96" s="6">
        <v>1.751087679347654</v>
      </c>
      <c r="G96" s="6">
        <v>2.9958322204362477E-3</v>
      </c>
      <c r="H96" s="24"/>
      <c r="I96" s="24"/>
      <c r="J96" s="6">
        <f>E96+I93</f>
        <v>-583.78214428558874</v>
      </c>
      <c r="K96" s="6">
        <f t="shared" si="50"/>
        <v>1.7470629655913674</v>
      </c>
      <c r="L96" s="6">
        <f>ABS(K96/J96)</f>
        <v>2.9926625586148394E-3</v>
      </c>
      <c r="M96" s="24"/>
      <c r="N96" s="24"/>
      <c r="O96" s="6">
        <f>J96+N93</f>
        <v>-583.60432973323361</v>
      </c>
      <c r="P96" s="6">
        <f t="shared" si="51"/>
        <v>1.7460775721288522</v>
      </c>
      <c r="Q96" s="6">
        <f>ABS(P96/O96)</f>
        <v>2.9918859116877814E-3</v>
      </c>
      <c r="R96" s="24"/>
      <c r="S96" s="24"/>
      <c r="T96" s="6">
        <f>O96+S93</f>
        <v>-583.13735065539561</v>
      </c>
      <c r="U96" s="6">
        <f t="shared" si="52"/>
        <v>1.7434909358447981</v>
      </c>
      <c r="V96" s="6">
        <f>ABS(U96/T96)</f>
        <v>2.9898461038128771E-3</v>
      </c>
      <c r="W96" s="24"/>
      <c r="X96" s="24"/>
    </row>
    <row r="97" spans="1:24" x14ac:dyDescent="0.25">
      <c r="A97" s="28">
        <v>2</v>
      </c>
      <c r="B97" s="3">
        <v>6</v>
      </c>
      <c r="C97" s="4">
        <v>1075</v>
      </c>
      <c r="D97" s="4">
        <v>450</v>
      </c>
      <c r="E97" s="6">
        <v>107.23606903099504</v>
      </c>
      <c r="F97" s="6">
        <v>1.7726347620242833</v>
      </c>
      <c r="G97" s="6">
        <v>1.653021019925608E-2</v>
      </c>
      <c r="H97" s="22">
        <f>F97+F98-F99-F100</f>
        <v>-2.1684200290480238E-2</v>
      </c>
      <c r="I97" s="22">
        <f>-H97/(2*(G97+G98+G99+G100))</f>
        <v>0.11340860931576466</v>
      </c>
      <c r="J97" s="6">
        <f>E97+I97-I93</f>
        <v>106.62369541302436</v>
      </c>
      <c r="K97" s="6">
        <f t="shared" si="50"/>
        <v>1.753933205905478</v>
      </c>
      <c r="L97" s="6">
        <f t="shared" ref="L97:L103" si="56">ABS(K97/J97)</f>
        <v>1.6449750677945744E-2</v>
      </c>
      <c r="M97" s="22">
        <f>K97+K98-K99-K100</f>
        <v>-0.11249888035803668</v>
      </c>
      <c r="N97" s="22">
        <f>-M97/(2*(L97+L98+L99+L100))</f>
        <v>0.59427015323336607</v>
      </c>
      <c r="O97" s="6">
        <f>J97+N97-N93</f>
        <v>107.04015101390266</v>
      </c>
      <c r="P97" s="6">
        <f t="shared" si="51"/>
        <v>1.7666416062694219</v>
      </c>
      <c r="Q97" s="6">
        <f t="shared" ref="Q97:Q103" si="57">ABS(P97/O97)</f>
        <v>1.6504476026383462E-2</v>
      </c>
      <c r="R97" s="22">
        <f>P97+P98-P99-P100</f>
        <v>-3.1537287242406009E-2</v>
      </c>
      <c r="S97" s="22">
        <f>-R97/(2*(Q97+Q98+Q99+Q100))</f>
        <v>0.16557672910741142</v>
      </c>
      <c r="T97" s="6">
        <f>O97+S97-S93</f>
        <v>106.7387486651721</v>
      </c>
      <c r="U97" s="6">
        <f t="shared" si="52"/>
        <v>1.7574399072592681</v>
      </c>
      <c r="V97" s="6">
        <f t="shared" ref="V97:V103" si="58">ABS(U97/T97)</f>
        <v>1.6464872684353524E-2</v>
      </c>
      <c r="W97" s="22">
        <f>U97+U98-U99-U100</f>
        <v>-7.4156689569051082E-2</v>
      </c>
      <c r="X97" s="22">
        <f>-W97/(2*(V97+V98+V99+V100))</f>
        <v>0.39129575194024951</v>
      </c>
    </row>
    <row r="98" spans="1:24" x14ac:dyDescent="0.25">
      <c r="A98" s="28"/>
      <c r="B98" s="20">
        <v>10</v>
      </c>
      <c r="C98" s="21">
        <v>1300</v>
      </c>
      <c r="D98" s="21">
        <v>300</v>
      </c>
      <c r="E98" s="6">
        <v>40.65887871395276</v>
      </c>
      <c r="F98" s="6">
        <v>2.5626131919216428</v>
      </c>
      <c r="G98" s="6">
        <v>6.3027148632169239E-2</v>
      </c>
      <c r="H98" s="23"/>
      <c r="I98" s="23"/>
      <c r="J98" s="6">
        <f>E98+I97-I110</f>
        <v>40.007086663682472</v>
      </c>
      <c r="K98" s="6">
        <f t="shared" si="50"/>
        <v>2.4870519101262265</v>
      </c>
      <c r="L98" s="6">
        <f t="shared" si="56"/>
        <v>6.2165284141619738E-2</v>
      </c>
      <c r="M98" s="23"/>
      <c r="N98" s="23"/>
      <c r="O98" s="6">
        <f>J98+N97-N110</f>
        <v>40.433993632899977</v>
      </c>
      <c r="P98" s="6">
        <f t="shared" si="51"/>
        <v>2.5364250606823178</v>
      </c>
      <c r="Q98" s="6">
        <f t="shared" si="57"/>
        <v>6.273001583050411E-2</v>
      </c>
      <c r="R98" s="23"/>
      <c r="S98" s="23"/>
      <c r="T98" s="6">
        <f>O98+S97-S110</f>
        <v>40.109253860105255</v>
      </c>
      <c r="U98" s="6">
        <f t="shared" si="52"/>
        <v>2.498827224996111</v>
      </c>
      <c r="V98" s="6">
        <f t="shared" si="58"/>
        <v>6.2300516327519477E-2</v>
      </c>
      <c r="W98" s="23"/>
      <c r="X98" s="23"/>
    </row>
    <row r="99" spans="1:24" x14ac:dyDescent="0.25">
      <c r="A99" s="28"/>
      <c r="B99" s="12">
        <v>-7</v>
      </c>
      <c r="C99" s="13">
        <v>600</v>
      </c>
      <c r="D99" s="13">
        <v>500</v>
      </c>
      <c r="E99" s="6">
        <v>-175.73267294816281</v>
      </c>
      <c r="F99" s="6">
        <v>1.4784226455166727</v>
      </c>
      <c r="G99" s="6">
        <v>8.4129070634051881E-3</v>
      </c>
      <c r="H99" s="23"/>
      <c r="I99" s="23"/>
      <c r="J99" s="6">
        <f>E99+I97-I101</f>
        <v>-175.61419561374754</v>
      </c>
      <c r="K99" s="6">
        <f t="shared" si="50"/>
        <v>1.4765772154395849</v>
      </c>
      <c r="L99" s="6">
        <f t="shared" si="56"/>
        <v>8.4080743602711044E-3</v>
      </c>
      <c r="M99" s="23"/>
      <c r="N99" s="23"/>
      <c r="O99" s="6">
        <f>J99+N97-N101</f>
        <v>-174.93954254395712</v>
      </c>
      <c r="P99" s="6">
        <f t="shared" si="51"/>
        <v>1.4660888801307288</v>
      </c>
      <c r="Q99" s="6">
        <f t="shared" si="57"/>
        <v>8.3805459806912674E-3</v>
      </c>
      <c r="R99" s="23"/>
      <c r="S99" s="23"/>
      <c r="T99" s="6">
        <f>O99+S97-S101</f>
        <v>-174.82069786278174</v>
      </c>
      <c r="U99" s="6">
        <f t="shared" si="52"/>
        <v>1.4642448528684315</v>
      </c>
      <c r="V99" s="6">
        <f t="shared" si="58"/>
        <v>8.3756950450897399E-3</v>
      </c>
      <c r="W99" s="23"/>
      <c r="X99" s="23"/>
    </row>
    <row r="100" spans="1:24" x14ac:dyDescent="0.25">
      <c r="A100" s="28"/>
      <c r="B100" s="5">
        <v>-3</v>
      </c>
      <c r="C100" s="6">
        <v>690</v>
      </c>
      <c r="D100" s="6">
        <v>600</v>
      </c>
      <c r="E100" s="6">
        <v>-377.17185748188018</v>
      </c>
      <c r="F100" s="6">
        <v>2.8785095087197332</v>
      </c>
      <c r="G100" s="6">
        <v>7.6318247282222548E-3</v>
      </c>
      <c r="H100" s="24"/>
      <c r="I100" s="24"/>
      <c r="J100" s="6">
        <f>E100+I97</f>
        <v>-377.05844887256444</v>
      </c>
      <c r="K100" s="6">
        <f t="shared" si="50"/>
        <v>2.8769067809501561</v>
      </c>
      <c r="L100" s="6">
        <f t="shared" si="56"/>
        <v>7.6298695588239498E-3</v>
      </c>
      <c r="M100" s="24"/>
      <c r="N100" s="24"/>
      <c r="O100" s="6">
        <f>J100+N97</f>
        <v>-376.46417871933107</v>
      </c>
      <c r="P100" s="6">
        <f t="shared" si="51"/>
        <v>2.8685150740634167</v>
      </c>
      <c r="Q100" s="6">
        <f t="shared" si="57"/>
        <v>7.6196228916696161E-3</v>
      </c>
      <c r="R100" s="24"/>
      <c r="S100" s="24"/>
      <c r="T100" s="6">
        <f>O100+S97</f>
        <v>-376.29860199022369</v>
      </c>
      <c r="U100" s="6">
        <f t="shared" si="52"/>
        <v>2.8661789689559987</v>
      </c>
      <c r="V100" s="6">
        <f t="shared" si="58"/>
        <v>7.6167675186591911E-3</v>
      </c>
      <c r="W100" s="24"/>
      <c r="X100" s="24"/>
    </row>
    <row r="101" spans="1:24" x14ac:dyDescent="0.25">
      <c r="A101" s="28">
        <v>3</v>
      </c>
      <c r="B101" s="12">
        <v>7</v>
      </c>
      <c r="C101" s="13">
        <v>600</v>
      </c>
      <c r="D101" s="13">
        <v>500</v>
      </c>
      <c r="E101" s="6">
        <v>175.73267294816279</v>
      </c>
      <c r="F101" s="6">
        <v>1.4784226455166718</v>
      </c>
      <c r="G101" s="6">
        <v>8.4129070634051846E-3</v>
      </c>
      <c r="H101" s="22">
        <f>F101+F102+F103-F104-F105</f>
        <v>2.5768523599265514E-3</v>
      </c>
      <c r="I101" s="22">
        <f>-H101/(2*(G101+G102+G103+G104+G105))</f>
        <v>-5.0687250995071773E-3</v>
      </c>
      <c r="J101" s="6">
        <f>E101+I101-I97</f>
        <v>175.61419561374751</v>
      </c>
      <c r="K101" s="6">
        <f t="shared" si="50"/>
        <v>1.476577215439584</v>
      </c>
      <c r="L101" s="6">
        <f t="shared" si="56"/>
        <v>8.4080743602711009E-3</v>
      </c>
      <c r="M101" s="22">
        <f>K101+K102+K103-K104-K105</f>
        <v>4.1141576974175642E-2</v>
      </c>
      <c r="N101" s="22">
        <f>-M101/(2*(L101+L102+L103+L104+L105))</f>
        <v>-8.038291655704774E-2</v>
      </c>
      <c r="O101" s="6">
        <f>J101+N101-N97</f>
        <v>174.93954254395709</v>
      </c>
      <c r="P101" s="6">
        <f t="shared" si="51"/>
        <v>1.4660888801307284</v>
      </c>
      <c r="Q101" s="6">
        <f t="shared" si="57"/>
        <v>8.3805459806912657E-3</v>
      </c>
      <c r="R101" s="22">
        <f>P101+P102+P103-P104-P105</f>
        <v>-2.3758194882173012E-2</v>
      </c>
      <c r="S101" s="22">
        <f>-R101/(2*(Q101+Q102+Q103+Q104+Q105))</f>
        <v>4.6732047932032415E-2</v>
      </c>
      <c r="T101" s="6">
        <f>O101+S101-S97</f>
        <v>174.82069786278171</v>
      </c>
      <c r="U101" s="6">
        <f t="shared" si="52"/>
        <v>1.4642448528684313</v>
      </c>
      <c r="V101" s="6">
        <f t="shared" si="58"/>
        <v>8.3756950450897399E-3</v>
      </c>
      <c r="W101" s="22">
        <f>U101+U102+U103-U104-U105</f>
        <v>-1.480029705905217E-3</v>
      </c>
      <c r="X101" s="22">
        <f>-W101/(2*(V101+V102+V103+V104+V105))</f>
        <v>2.9010733883293978E-3</v>
      </c>
    </row>
    <row r="102" spans="1:24" x14ac:dyDescent="0.25">
      <c r="A102" s="28"/>
      <c r="B102" s="18">
        <v>14</v>
      </c>
      <c r="C102" s="19">
        <v>460</v>
      </c>
      <c r="D102" s="19">
        <v>500</v>
      </c>
      <c r="E102" s="6">
        <v>134.51155166211558</v>
      </c>
      <c r="F102" s="6">
        <v>0.69087754410196245</v>
      </c>
      <c r="G102" s="6">
        <v>5.1361948885802963E-3</v>
      </c>
      <c r="H102" s="23"/>
      <c r="I102" s="23"/>
      <c r="J102" s="6">
        <f>E102+I101-I110</f>
        <v>133.74128227743003</v>
      </c>
      <c r="K102" s="6">
        <f t="shared" si="50"/>
        <v>0.68356844118681559</v>
      </c>
      <c r="L102" s="6">
        <f t="shared" si="56"/>
        <v>5.1111252228675059E-3</v>
      </c>
      <c r="M102" s="23"/>
      <c r="N102" s="23"/>
      <c r="O102" s="6">
        <f>J102+N101-N110</f>
        <v>133.49353617685711</v>
      </c>
      <c r="P102" s="6">
        <f t="shared" si="51"/>
        <v>0.68122517595943355</v>
      </c>
      <c r="Q102" s="6">
        <f t="shared" si="57"/>
        <v>5.1030573874147854E-3</v>
      </c>
      <c r="R102" s="23"/>
      <c r="S102" s="23"/>
      <c r="T102" s="6">
        <f>O102+S101-S110</f>
        <v>133.04995172288702</v>
      </c>
      <c r="U102" s="6">
        <f t="shared" si="52"/>
        <v>0.6770388557022391</v>
      </c>
      <c r="V102" s="6">
        <f t="shared" si="58"/>
        <v>5.0886065491580037E-3</v>
      </c>
      <c r="W102" s="23"/>
      <c r="X102" s="23"/>
    </row>
    <row r="103" spans="1:24" x14ac:dyDescent="0.25">
      <c r="A103" s="28"/>
      <c r="B103" s="16">
        <v>11</v>
      </c>
      <c r="C103" s="17">
        <v>1590</v>
      </c>
      <c r="D103" s="17">
        <v>200</v>
      </c>
      <c r="E103" s="6">
        <v>12.590067420865122</v>
      </c>
      <c r="F103" s="6">
        <v>2.5751197173222171</v>
      </c>
      <c r="G103" s="6">
        <v>0.20453581630981199</v>
      </c>
      <c r="H103" s="23"/>
      <c r="I103" s="23"/>
      <c r="J103" s="6">
        <f>E103+I101-I115</f>
        <v>12.716397177583477</v>
      </c>
      <c r="K103" s="6">
        <f t="shared" si="50"/>
        <v>2.6231779218750164</v>
      </c>
      <c r="L103" s="6">
        <f t="shared" si="56"/>
        <v>0.2062831071759198</v>
      </c>
      <c r="M103" s="23"/>
      <c r="N103" s="23"/>
      <c r="O103" s="6">
        <f>J103+N101-N115</f>
        <v>12.593675105767803</v>
      </c>
      <c r="P103" s="6">
        <f t="shared" si="51"/>
        <v>2.5764864763784217</v>
      </c>
      <c r="Q103" s="6">
        <f t="shared" si="57"/>
        <v>0.20458575076296923</v>
      </c>
      <c r="R103" s="23"/>
      <c r="S103" s="23"/>
      <c r="T103" s="6">
        <f>O103+S101-S115</f>
        <v>12.659989286150713</v>
      </c>
      <c r="U103" s="6">
        <f t="shared" si="52"/>
        <v>2.6016687899211117</v>
      </c>
      <c r="V103" s="6">
        <f t="shared" si="58"/>
        <v>0.20550323788719038</v>
      </c>
      <c r="W103" s="23"/>
      <c r="X103" s="23"/>
    </row>
    <row r="104" spans="1:24" x14ac:dyDescent="0.25">
      <c r="A104" s="28"/>
      <c r="B104" s="5">
        <v>-8</v>
      </c>
      <c r="C104" s="6">
        <v>284</v>
      </c>
      <c r="D104" s="6">
        <v>400</v>
      </c>
      <c r="E104" s="6">
        <v>-112.63918453371734</v>
      </c>
      <c r="F104" s="6">
        <v>0.91028953801890788</v>
      </c>
      <c r="G104" s="6">
        <v>8.0814642061477499E-3</v>
      </c>
      <c r="H104" s="23"/>
      <c r="I104" s="23"/>
      <c r="J104" s="6">
        <f>E104+I101</f>
        <v>-112.64425325881685</v>
      </c>
      <c r="K104" s="6">
        <f t="shared" si="50"/>
        <v>0.91036540243148345</v>
      </c>
      <c r="L104" s="6">
        <f>ABS(K104/J104)</f>
        <v>8.081774046118307E-3</v>
      </c>
      <c r="M104" s="23"/>
      <c r="N104" s="23"/>
      <c r="O104" s="6">
        <f>J104+N101</f>
        <v>-112.72463617537389</v>
      </c>
      <c r="P104" s="6">
        <f t="shared" si="51"/>
        <v>0.91156889508677652</v>
      </c>
      <c r="Q104" s="6">
        <f>ABS(P104/O104)</f>
        <v>8.0866874005127206E-3</v>
      </c>
      <c r="R104" s="23"/>
      <c r="S104" s="23"/>
      <c r="T104" s="6">
        <f>O104+S101</f>
        <v>-112.67790412744185</v>
      </c>
      <c r="U104" s="6">
        <f t="shared" si="52"/>
        <v>0.91086913407129266</v>
      </c>
      <c r="V104" s="6">
        <f>ABS(U104/T104)</f>
        <v>8.083830997078845E-3</v>
      </c>
      <c r="W104" s="23"/>
      <c r="X104" s="23"/>
    </row>
    <row r="105" spans="1:24" x14ac:dyDescent="0.25">
      <c r="A105" s="28"/>
      <c r="B105" s="5">
        <v>-4</v>
      </c>
      <c r="C105" s="6">
        <v>835</v>
      </c>
      <c r="D105" s="5">
        <v>400</v>
      </c>
      <c r="E105" s="6">
        <v>-136.71918453371737</v>
      </c>
      <c r="F105" s="6">
        <v>3.8315535165620176</v>
      </c>
      <c r="G105" s="6">
        <v>2.802498807778574E-2</v>
      </c>
      <c r="H105" s="24"/>
      <c r="I105" s="24"/>
      <c r="J105" s="6">
        <f>E105+I101</f>
        <v>-136.72425325881687</v>
      </c>
      <c r="K105" s="6">
        <f t="shared" si="50"/>
        <v>3.8318165990957569</v>
      </c>
      <c r="L105" s="6">
        <f t="shared" ref="L105" si="59">ABS(K105/J105)</f>
        <v>2.8025873301660592E-2</v>
      </c>
      <c r="M105" s="24"/>
      <c r="N105" s="24"/>
      <c r="O105" s="6">
        <f>J105+N101</f>
        <v>-136.80463617537393</v>
      </c>
      <c r="P105" s="6">
        <f t="shared" si="51"/>
        <v>3.83598983226398</v>
      </c>
      <c r="Q105" s="6">
        <f t="shared" ref="Q105" si="60">ABS(P105/O105)</f>
        <v>2.8039911069581813E-2</v>
      </c>
      <c r="R105" s="24"/>
      <c r="S105" s="24"/>
      <c r="T105" s="6">
        <f>O105+S101</f>
        <v>-136.75790412744189</v>
      </c>
      <c r="U105" s="6">
        <f t="shared" si="52"/>
        <v>3.8335633941263945</v>
      </c>
      <c r="V105" s="6">
        <f t="shared" ref="V105" si="61">ABS(U105/T105)</f>
        <v>2.8031750110428535E-2</v>
      </c>
      <c r="W105" s="24"/>
      <c r="X105" s="24"/>
    </row>
    <row r="106" spans="1:24" x14ac:dyDescent="0.25">
      <c r="A106" s="28">
        <v>4</v>
      </c>
      <c r="B106" s="5">
        <v>12</v>
      </c>
      <c r="C106" s="6">
        <v>385</v>
      </c>
      <c r="D106" s="5">
        <v>400</v>
      </c>
      <c r="E106" s="6">
        <v>103.39573629014988</v>
      </c>
      <c r="F106" s="6">
        <v>1.0530569586522944</v>
      </c>
      <c r="G106" s="6">
        <v>1.0184723243298914E-2</v>
      </c>
      <c r="H106" s="22">
        <f>F106+F107-F108-F109</f>
        <v>-0.14288601231107489</v>
      </c>
      <c r="I106" s="22">
        <f>-H106/(2*(G106+G107+G108+G109))</f>
        <v>0.20597602722377351</v>
      </c>
      <c r="J106" s="6">
        <f>E106+I106</f>
        <v>103.60171231737365</v>
      </c>
      <c r="K106" s="6">
        <f t="shared" si="50"/>
        <v>1.0569453973733618</v>
      </c>
      <c r="L106" s="6">
        <f>ABS(K106/J106)</f>
        <v>1.0202007029917744E-2</v>
      </c>
      <c r="M106" s="22">
        <f>K106+K107-K108-K109</f>
        <v>-0.45768882230311569</v>
      </c>
      <c r="N106" s="22">
        <f>-M106/(2*(L106+L107+L108+L109))</f>
        <v>0.61954154566042041</v>
      </c>
      <c r="O106" s="6">
        <f>J106+N106</f>
        <v>104.22125386303408</v>
      </c>
      <c r="P106" s="6">
        <f t="shared" si="51"/>
        <v>1.0686808992245844</v>
      </c>
      <c r="Q106" s="6">
        <f>ABS(P106/O106)</f>
        <v>1.0253963175582477E-2</v>
      </c>
      <c r="R106" s="22">
        <f>P106+P107-P108-P109</f>
        <v>-0.14433778418118925</v>
      </c>
      <c r="S106" s="22">
        <f>-R106/(2*(Q106+Q107+Q108+Q109))</f>
        <v>0.20533064944221488</v>
      </c>
      <c r="T106" s="6">
        <f>O106+S106</f>
        <v>104.4265845124763</v>
      </c>
      <c r="U106" s="6">
        <f t="shared" si="52"/>
        <v>1.0725834703162909</v>
      </c>
      <c r="V106" s="6">
        <f>ABS(U106/T106)</f>
        <v>1.0271172568974949E-2</v>
      </c>
      <c r="W106" s="22">
        <f>U106+U107-U108-U109</f>
        <v>-0.29673300195562002</v>
      </c>
      <c r="X106" s="22">
        <f>-W106/(2*(V106+V107+V108+V109))</f>
        <v>0.40872275543135467</v>
      </c>
    </row>
    <row r="107" spans="1:24" x14ac:dyDescent="0.25">
      <c r="A107" s="28"/>
      <c r="B107" s="5">
        <v>17</v>
      </c>
      <c r="C107" s="6">
        <v>320</v>
      </c>
      <c r="D107" s="5">
        <v>300</v>
      </c>
      <c r="E107" s="6">
        <v>81.925736290149885</v>
      </c>
      <c r="F107" s="6">
        <v>2.3088109920265873</v>
      </c>
      <c r="G107" s="6">
        <v>2.8181754556952099E-2</v>
      </c>
      <c r="H107" s="23"/>
      <c r="I107" s="23"/>
      <c r="J107" s="6">
        <f>E107+I106</f>
        <v>82.131712317373655</v>
      </c>
      <c r="K107" s="6">
        <f t="shared" si="50"/>
        <v>2.3195729310850681</v>
      </c>
      <c r="L107" s="6">
        <f t="shared" ref="L107" si="62">ABS(K107/J107)</f>
        <v>2.8242110941529699E-2</v>
      </c>
      <c r="M107" s="23"/>
      <c r="N107" s="23"/>
      <c r="O107" s="6">
        <f>J107+N106</f>
        <v>82.75125386303408</v>
      </c>
      <c r="P107" s="6">
        <f t="shared" si="51"/>
        <v>2.3520817651573687</v>
      </c>
      <c r="Q107" s="6">
        <f t="shared" ref="Q107" si="63">ABS(P107/O107)</f>
        <v>2.8423518138473429E-2</v>
      </c>
      <c r="R107" s="23"/>
      <c r="S107" s="23"/>
      <c r="T107" s="6">
        <f>O107+S106</f>
        <v>82.956584512476297</v>
      </c>
      <c r="U107" s="6">
        <f t="shared" si="52"/>
        <v>2.3629018672968281</v>
      </c>
      <c r="V107" s="6">
        <f t="shared" ref="V107" si="64">ABS(U107/T107)</f>
        <v>2.848359634359655E-2</v>
      </c>
      <c r="W107" s="23"/>
      <c r="X107" s="23"/>
    </row>
    <row r="108" spans="1:24" x14ac:dyDescent="0.25">
      <c r="A108" s="28"/>
      <c r="B108" s="10">
        <v>-13</v>
      </c>
      <c r="C108" s="11">
        <v>1020</v>
      </c>
      <c r="D108" s="10">
        <v>150</v>
      </c>
      <c r="E108" s="6">
        <v>-6.0535275140171727</v>
      </c>
      <c r="F108" s="6">
        <v>1.7277461738097135</v>
      </c>
      <c r="G108" s="6">
        <v>0.28541146791008248</v>
      </c>
      <c r="H108" s="23"/>
      <c r="I108" s="23"/>
      <c r="J108" s="6">
        <f>E108+I106-I110</f>
        <v>-6.6127521463794521</v>
      </c>
      <c r="K108" s="6">
        <f t="shared" si="50"/>
        <v>2.0349234550328106</v>
      </c>
      <c r="L108" s="6">
        <f>ABS(K108/J108)</f>
        <v>0.30772716260762195</v>
      </c>
      <c r="M108" s="23"/>
      <c r="N108" s="23"/>
      <c r="O108" s="6">
        <f>J108+N106-N110</f>
        <v>-6.1605737847348934</v>
      </c>
      <c r="P108" s="6">
        <f t="shared" si="51"/>
        <v>1.7847547821534069</v>
      </c>
      <c r="Q108" s="6">
        <f>ABS(P108/O108)</f>
        <v>0.28970593397903921</v>
      </c>
      <c r="R108" s="23"/>
      <c r="S108" s="23"/>
      <c r="T108" s="6">
        <f>O108+S106-S110</f>
        <v>-6.4455596371948163</v>
      </c>
      <c r="U108" s="6">
        <f t="shared" si="52"/>
        <v>1.9406662282869303</v>
      </c>
      <c r="V108" s="6">
        <f>ABS(U108/T108)</f>
        <v>0.30108576097692136</v>
      </c>
      <c r="W108" s="23"/>
      <c r="X108" s="23"/>
    </row>
    <row r="109" spans="1:24" x14ac:dyDescent="0.25">
      <c r="A109" s="28"/>
      <c r="B109" s="8">
        <v>-9</v>
      </c>
      <c r="C109" s="9">
        <v>1121</v>
      </c>
      <c r="D109" s="8">
        <v>400</v>
      </c>
      <c r="E109" s="6">
        <v>-77.016337196974902</v>
      </c>
      <c r="F109" s="6">
        <v>1.7770077891802429</v>
      </c>
      <c r="G109" s="6">
        <v>2.3073127778531141E-2</v>
      </c>
      <c r="H109" s="24"/>
      <c r="I109" s="24"/>
      <c r="J109" s="6">
        <f>E109+I106-I93</f>
        <v>-77.536143397037577</v>
      </c>
      <c r="K109" s="6">
        <f t="shared" si="50"/>
        <v>1.7992836957287353</v>
      </c>
      <c r="L109" s="6">
        <f t="shared" ref="L109:L118" si="65">ABS(K109/J109)</f>
        <v>2.3205741437450453E-2</v>
      </c>
      <c r="M109" s="24"/>
      <c r="N109" s="24"/>
      <c r="O109" s="6">
        <f>J109+N106-N93</f>
        <v>-77.094416403732225</v>
      </c>
      <c r="P109" s="6">
        <f t="shared" si="51"/>
        <v>1.7803456664097352</v>
      </c>
      <c r="Q109" s="6">
        <f t="shared" ref="Q109:Q118" si="66">ABS(P109/O109)</f>
        <v>2.3093055884700189E-2</v>
      </c>
      <c r="R109" s="24"/>
      <c r="S109" s="24"/>
      <c r="T109" s="6">
        <f>O109+S106-S93</f>
        <v>-77.356064832127984</v>
      </c>
      <c r="U109" s="6">
        <f t="shared" si="52"/>
        <v>1.7915521112818085</v>
      </c>
      <c r="V109" s="6">
        <f t="shared" ref="V109:V118" si="67">ABS(U109/T109)</f>
        <v>2.3159814491206257E-2</v>
      </c>
      <c r="W109" s="24"/>
      <c r="X109" s="24"/>
    </row>
    <row r="110" spans="1:24" x14ac:dyDescent="0.25">
      <c r="A110" s="29">
        <v>5</v>
      </c>
      <c r="B110" s="10">
        <v>13</v>
      </c>
      <c r="C110" s="11">
        <v>1020</v>
      </c>
      <c r="D110" s="10">
        <v>150</v>
      </c>
      <c r="E110" s="6">
        <v>6.0535275140171789</v>
      </c>
      <c r="F110" s="6">
        <v>1.7277461738097171</v>
      </c>
      <c r="G110" s="6">
        <v>0.28541146791008276</v>
      </c>
      <c r="H110" s="22">
        <f>F110+F111-F112-F113-F114</f>
        <v>-0.66075504791417217</v>
      </c>
      <c r="I110" s="22">
        <f>-H110/(2*(G110+G111+G112+G113+G114))</f>
        <v>0.76520065958605221</v>
      </c>
      <c r="J110" s="6">
        <f>E110+I110-I106</f>
        <v>6.6127521463794583</v>
      </c>
      <c r="K110" s="6">
        <f t="shared" si="50"/>
        <v>2.0349234550328141</v>
      </c>
      <c r="L110" s="6">
        <f t="shared" si="65"/>
        <v>0.30772716260762217</v>
      </c>
      <c r="M110" s="22">
        <f>K110+K111-K112-K113-K114</f>
        <v>-0.15168382101552602</v>
      </c>
      <c r="N110" s="22">
        <f>-M110/(2*(L110+L111+L112+L113+L114))</f>
        <v>0.16736318401586159</v>
      </c>
      <c r="O110" s="6">
        <f>J110+N110-N106</f>
        <v>6.1605737847348996</v>
      </c>
      <c r="P110" s="6">
        <f t="shared" si="51"/>
        <v>1.78475478215341</v>
      </c>
      <c r="Q110" s="6">
        <f t="shared" si="66"/>
        <v>0.28970593397903943</v>
      </c>
      <c r="R110" s="22">
        <f>P110+P111-P112-P113-P114</f>
        <v>-0.42728865366608204</v>
      </c>
      <c r="S110" s="22">
        <f>-R110/(2*(Q110+Q111+Q112+Q113+Q114))</f>
        <v>0.49031650190213788</v>
      </c>
      <c r="T110" s="6">
        <f>O110+S110-S106</f>
        <v>6.4455596371948225</v>
      </c>
      <c r="U110" s="6">
        <f t="shared" si="52"/>
        <v>1.9406662282869336</v>
      </c>
      <c r="V110" s="6">
        <f t="shared" si="67"/>
        <v>0.30108576097692158</v>
      </c>
      <c r="W110" s="22">
        <f>U110+U111-U112-U113-U114</f>
        <v>-0.15737119885718531</v>
      </c>
      <c r="X110" s="22">
        <f>-W110/(2*(V110+V111+V112+V113+V114))</f>
        <v>0.17615542925234862</v>
      </c>
    </row>
    <row r="111" spans="1:24" x14ac:dyDescent="0.25">
      <c r="A111" s="30"/>
      <c r="B111" s="5">
        <v>18</v>
      </c>
      <c r="C111" s="6">
        <v>651</v>
      </c>
      <c r="D111" s="5">
        <v>300</v>
      </c>
      <c r="E111" s="6">
        <v>60.089263804167068</v>
      </c>
      <c r="F111" s="6">
        <v>2.6454327466987309</v>
      </c>
      <c r="G111" s="6">
        <v>4.4025048390013317E-2</v>
      </c>
      <c r="H111" s="23"/>
      <c r="I111" s="23"/>
      <c r="J111" s="6">
        <f>E111+I110</f>
        <v>60.854464463753118</v>
      </c>
      <c r="K111" s="6">
        <f t="shared" si="50"/>
        <v>2.7081611611112932</v>
      </c>
      <c r="L111" s="6">
        <f t="shared" si="65"/>
        <v>4.4502259365446578E-2</v>
      </c>
      <c r="M111" s="23"/>
      <c r="N111" s="23"/>
      <c r="O111" s="6">
        <f>J111+N110</f>
        <v>61.02182764776898</v>
      </c>
      <c r="P111" s="6">
        <f t="shared" si="51"/>
        <v>2.7219710893689633</v>
      </c>
      <c r="Q111" s="6">
        <f t="shared" si="66"/>
        <v>4.460651531253311E-2</v>
      </c>
      <c r="R111" s="23"/>
      <c r="S111" s="23"/>
      <c r="T111" s="6">
        <f>O111+S110</f>
        <v>61.512144149671116</v>
      </c>
      <c r="U111" s="6">
        <f t="shared" si="52"/>
        <v>2.762615350656576</v>
      </c>
      <c r="V111" s="6">
        <f t="shared" si="67"/>
        <v>4.4911706279244484E-2</v>
      </c>
      <c r="W111" s="23"/>
      <c r="X111" s="23"/>
    </row>
    <row r="112" spans="1:24" x14ac:dyDescent="0.25">
      <c r="A112" s="30"/>
      <c r="B112" s="14">
        <f>-15</f>
        <v>-15</v>
      </c>
      <c r="C112" s="15">
        <v>570</v>
      </c>
      <c r="D112" s="14">
        <v>300</v>
      </c>
      <c r="E112" s="6">
        <v>-52.131484241250455</v>
      </c>
      <c r="F112" s="6">
        <v>1.7804432323990143</v>
      </c>
      <c r="G112" s="6">
        <v>3.4152935760654791E-2</v>
      </c>
      <c r="H112" s="23"/>
      <c r="I112" s="23"/>
      <c r="J112" s="6">
        <f>E112+I110-I115</f>
        <v>-51.234885099846544</v>
      </c>
      <c r="K112" s="6">
        <f t="shared" si="50"/>
        <v>1.7241480858465916</v>
      </c>
      <c r="L112" s="6">
        <f t="shared" si="65"/>
        <v>3.3651838634683615E-2</v>
      </c>
      <c r="M112" s="23"/>
      <c r="N112" s="23"/>
      <c r="O112" s="6">
        <f>J112+N110-N115</f>
        <v>-51.109861071089306</v>
      </c>
      <c r="P112" s="6">
        <f t="shared" si="51"/>
        <v>1.7163642885467043</v>
      </c>
      <c r="Q112" s="6">
        <f t="shared" si="66"/>
        <v>3.3581861749915405E-2</v>
      </c>
      <c r="R112" s="23"/>
      <c r="S112" s="23"/>
      <c r="T112" s="6">
        <f>O112+S110-S115</f>
        <v>-50.599962436736291</v>
      </c>
      <c r="U112" s="6">
        <f t="shared" si="52"/>
        <v>1.6847866971023444</v>
      </c>
      <c r="V112" s="6">
        <f t="shared" si="67"/>
        <v>3.3296204502301474E-2</v>
      </c>
      <c r="W112" s="23"/>
      <c r="X112" s="23"/>
    </row>
    <row r="113" spans="1:24" x14ac:dyDescent="0.25">
      <c r="A113" s="30"/>
      <c r="B113" s="18">
        <v>-14</v>
      </c>
      <c r="C113" s="19">
        <v>460</v>
      </c>
      <c r="D113" s="18">
        <v>500</v>
      </c>
      <c r="E113" s="6">
        <v>-134.51155166211558</v>
      </c>
      <c r="F113" s="6">
        <v>0.69087754410196245</v>
      </c>
      <c r="G113" s="6">
        <v>5.1361948885802963E-3</v>
      </c>
      <c r="H113" s="23"/>
      <c r="I113" s="23"/>
      <c r="J113" s="6">
        <f>E113+I110-I101</f>
        <v>-133.74128227743003</v>
      </c>
      <c r="K113" s="6">
        <f t="shared" si="50"/>
        <v>0.68356844118681559</v>
      </c>
      <c r="L113" s="6">
        <f t="shared" si="65"/>
        <v>5.1111252228675059E-3</v>
      </c>
      <c r="M113" s="23"/>
      <c r="N113" s="23"/>
      <c r="O113" s="6">
        <f>J113+N110-N101</f>
        <v>-133.49353617685711</v>
      </c>
      <c r="P113" s="6">
        <f t="shared" si="51"/>
        <v>0.68122517595943355</v>
      </c>
      <c r="Q113" s="6">
        <f t="shared" si="66"/>
        <v>5.1030573874147854E-3</v>
      </c>
      <c r="R113" s="23"/>
      <c r="S113" s="23"/>
      <c r="T113" s="6">
        <f>O113+S110-S101</f>
        <v>-133.04995172288702</v>
      </c>
      <c r="U113" s="6">
        <f t="shared" si="52"/>
        <v>0.6770388557022391</v>
      </c>
      <c r="V113" s="6">
        <f t="shared" si="67"/>
        <v>5.0886065491580037E-3</v>
      </c>
      <c r="W113" s="23"/>
      <c r="X113" s="23"/>
    </row>
    <row r="114" spans="1:24" x14ac:dyDescent="0.25">
      <c r="A114" s="31"/>
      <c r="B114" s="20">
        <v>-10</v>
      </c>
      <c r="C114" s="21">
        <v>1300</v>
      </c>
      <c r="D114" s="20">
        <v>300</v>
      </c>
      <c r="E114" s="6">
        <v>-40.658878713952753</v>
      </c>
      <c r="F114" s="6">
        <v>2.5626131919216428</v>
      </c>
      <c r="G114" s="6">
        <v>6.3027148632169253E-2</v>
      </c>
      <c r="H114" s="24"/>
      <c r="I114" s="24"/>
      <c r="J114" s="6">
        <f>E114+I110-I97</f>
        <v>-40.007086663682465</v>
      </c>
      <c r="K114" s="6">
        <f t="shared" si="50"/>
        <v>2.4870519101262265</v>
      </c>
      <c r="L114" s="6">
        <f t="shared" si="65"/>
        <v>6.2165284141619752E-2</v>
      </c>
      <c r="M114" s="24"/>
      <c r="N114" s="24"/>
      <c r="O114" s="6">
        <f>J114+N110-N97</f>
        <v>-40.43399363289997</v>
      </c>
      <c r="P114" s="6">
        <f t="shared" si="51"/>
        <v>2.5364250606823178</v>
      </c>
      <c r="Q114" s="6">
        <f t="shared" si="66"/>
        <v>6.273001583050411E-2</v>
      </c>
      <c r="R114" s="24"/>
      <c r="S114" s="24"/>
      <c r="T114" s="6">
        <f>O114+S110-S97</f>
        <v>-40.109253860105248</v>
      </c>
      <c r="U114" s="6">
        <f t="shared" si="52"/>
        <v>2.498827224996111</v>
      </c>
      <c r="V114" s="6">
        <f t="shared" si="67"/>
        <v>6.2300516327519484E-2</v>
      </c>
      <c r="W114" s="24"/>
      <c r="X114" s="24"/>
    </row>
    <row r="115" spans="1:24" x14ac:dyDescent="0.25">
      <c r="A115" s="28">
        <v>6</v>
      </c>
      <c r="B115" s="14">
        <v>15</v>
      </c>
      <c r="C115" s="15">
        <v>570</v>
      </c>
      <c r="D115" s="14">
        <v>300</v>
      </c>
      <c r="E115" s="6">
        <v>52.131484241250469</v>
      </c>
      <c r="F115" s="6">
        <v>1.7804432323990158</v>
      </c>
      <c r="G115" s="6">
        <v>3.4152935760654812E-2</v>
      </c>
      <c r="H115" s="22">
        <f>F115+F116-F117-F118</f>
        <v>0.11645587374039534</v>
      </c>
      <c r="I115" s="22">
        <f>-H115/(2*(G115+G116+G117+G118))</f>
        <v>-0.13139848181786318</v>
      </c>
      <c r="J115" s="6">
        <f>E115+I115-I110</f>
        <v>51.234885099846558</v>
      </c>
      <c r="K115" s="6">
        <f t="shared" si="50"/>
        <v>1.7241480858465934</v>
      </c>
      <c r="L115" s="6">
        <f t="shared" si="65"/>
        <v>3.3651838634683635E-2</v>
      </c>
      <c r="M115" s="22">
        <f>K115+K116-K117-K118</f>
        <v>-3.7582150485392152E-2</v>
      </c>
      <c r="N115" s="22">
        <f>-M115/(2*(L115+L116+L117+L118))</f>
        <v>4.2339155258626769E-2</v>
      </c>
      <c r="O115" s="6">
        <f>J115+N115-N110</f>
        <v>51.10986107108932</v>
      </c>
      <c r="P115" s="6">
        <f t="shared" si="51"/>
        <v>1.7163642885467056</v>
      </c>
      <c r="Q115" s="6">
        <f t="shared" si="66"/>
        <v>3.3581861749915419E-2</v>
      </c>
      <c r="R115" s="22">
        <f>P115+P116-P117-P118</f>
        <v>1.7319888855741539E-2</v>
      </c>
      <c r="S115" s="22">
        <f>-R115/(2*(Q115+Q116+Q117+Q118))</f>
        <v>-1.9582132450879319E-2</v>
      </c>
      <c r="T115" s="6">
        <f>O115+S115-S110</f>
        <v>50.599962436736305</v>
      </c>
      <c r="U115" s="6">
        <f t="shared" si="52"/>
        <v>1.6847866971023444</v>
      </c>
      <c r="V115" s="6">
        <f t="shared" si="67"/>
        <v>3.3296204502301467E-2</v>
      </c>
      <c r="W115" s="22">
        <f>U115+U116-U117-U118</f>
        <v>-4.6839296615684756E-2</v>
      </c>
      <c r="X115" s="22">
        <f>-W115/(2*(V115+V116+V117+V118))</f>
        <v>5.2891713232418397E-2</v>
      </c>
    </row>
    <row r="116" spans="1:24" x14ac:dyDescent="0.25">
      <c r="A116" s="28"/>
      <c r="B116" s="5">
        <v>19</v>
      </c>
      <c r="C116" s="6">
        <v>791</v>
      </c>
      <c r="D116" s="5">
        <v>200</v>
      </c>
      <c r="E116" s="6">
        <v>18.190748045417529</v>
      </c>
      <c r="F116" s="6">
        <v>2.5326084910857269</v>
      </c>
      <c r="G116" s="6">
        <v>0.13922508765238611</v>
      </c>
      <c r="H116" s="23"/>
      <c r="I116" s="23"/>
      <c r="J116" s="6">
        <f>E116+I115</f>
        <v>18.059349563599664</v>
      </c>
      <c r="K116" s="6">
        <f t="shared" si="50"/>
        <v>2.4988323601777513</v>
      </c>
      <c r="L116" s="6">
        <f t="shared" si="65"/>
        <v>0.13836779399931354</v>
      </c>
      <c r="M116" s="23"/>
      <c r="N116" s="23"/>
      <c r="O116" s="6">
        <f>J116+N115</f>
        <v>18.101688718858291</v>
      </c>
      <c r="P116" s="6">
        <f t="shared" si="51"/>
        <v>2.5096929063471998</v>
      </c>
      <c r="Q116" s="6">
        <f t="shared" si="66"/>
        <v>0.13864413123691649</v>
      </c>
      <c r="R116" s="23"/>
      <c r="S116" s="23"/>
      <c r="T116" s="6">
        <f>O116+S115</f>
        <v>18.082106586407413</v>
      </c>
      <c r="U116" s="6">
        <f t="shared" si="52"/>
        <v>2.5046671403973835</v>
      </c>
      <c r="V116" s="6">
        <f t="shared" si="67"/>
        <v>0.13851633538540131</v>
      </c>
      <c r="W116" s="23"/>
      <c r="X116" s="23"/>
    </row>
    <row r="117" spans="1:24" x14ac:dyDescent="0.25">
      <c r="A117" s="28"/>
      <c r="B117" s="5">
        <v>-16</v>
      </c>
      <c r="C117" s="6">
        <v>284</v>
      </c>
      <c r="D117" s="5">
        <v>200</v>
      </c>
      <c r="E117" s="6">
        <v>-24.859251954582469</v>
      </c>
      <c r="F117" s="6">
        <v>1.6214761324221256</v>
      </c>
      <c r="G117" s="6">
        <v>6.5226264063960634E-2</v>
      </c>
      <c r="H117" s="23"/>
      <c r="I117" s="23"/>
      <c r="J117" s="6">
        <f>E117+I115</f>
        <v>-24.990650436400333</v>
      </c>
      <c r="K117" s="6">
        <f t="shared" si="50"/>
        <v>1.6373846746347149</v>
      </c>
      <c r="L117" s="6">
        <f t="shared" si="65"/>
        <v>6.5519890280637483E-2</v>
      </c>
      <c r="M117" s="23"/>
      <c r="N117" s="23"/>
      <c r="O117" s="6">
        <f>J117+N115</f>
        <v>-24.948311281141706</v>
      </c>
      <c r="P117" s="6">
        <f t="shared" si="51"/>
        <v>1.6322508296597422</v>
      </c>
      <c r="Q117" s="6">
        <f t="shared" si="66"/>
        <v>6.5425303190502992E-2</v>
      </c>
      <c r="R117" s="23"/>
      <c r="S117" s="23"/>
      <c r="T117" s="6">
        <f>O117+S115</f>
        <v>-24.967893413592584</v>
      </c>
      <c r="U117" s="6">
        <f t="shared" si="52"/>
        <v>1.6346243441942958</v>
      </c>
      <c r="V117" s="6">
        <f t="shared" si="67"/>
        <v>6.5469053280418216E-2</v>
      </c>
      <c r="W117" s="23"/>
      <c r="X117" s="23"/>
    </row>
    <row r="118" spans="1:24" x14ac:dyDescent="0.25">
      <c r="A118" s="28"/>
      <c r="B118" s="16">
        <v>-11</v>
      </c>
      <c r="C118" s="17">
        <v>1590</v>
      </c>
      <c r="D118" s="16">
        <v>200</v>
      </c>
      <c r="E118" s="6">
        <v>-12.590067420865125</v>
      </c>
      <c r="F118" s="6">
        <v>2.575119717322222</v>
      </c>
      <c r="G118" s="6">
        <v>0.20453581630981232</v>
      </c>
      <c r="H118" s="24"/>
      <c r="I118" s="24"/>
      <c r="J118" s="6">
        <f>E118+I115-I101</f>
        <v>-12.716397177583481</v>
      </c>
      <c r="K118" s="6">
        <f t="shared" si="50"/>
        <v>2.6231779218750213</v>
      </c>
      <c r="L118" s="6">
        <f t="shared" si="65"/>
        <v>0.20628310717592011</v>
      </c>
      <c r="M118" s="24"/>
      <c r="N118" s="24"/>
      <c r="O118" s="6">
        <f>J118+N115-N101</f>
        <v>-12.593675105767806</v>
      </c>
      <c r="P118" s="6">
        <f t="shared" si="51"/>
        <v>2.5764864763784217</v>
      </c>
      <c r="Q118" s="6">
        <f t="shared" si="66"/>
        <v>0.20458575076296917</v>
      </c>
      <c r="R118" s="24"/>
      <c r="S118" s="24"/>
      <c r="T118" s="6">
        <f>O118+S115-S101</f>
        <v>-12.659989286150717</v>
      </c>
      <c r="U118" s="6">
        <f t="shared" si="52"/>
        <v>2.6016687899211166</v>
      </c>
      <c r="V118" s="6">
        <f t="shared" si="67"/>
        <v>0.20550323788719072</v>
      </c>
      <c r="W118" s="24"/>
      <c r="X118" s="24"/>
    </row>
    <row r="121" spans="1:24" x14ac:dyDescent="0.25">
      <c r="A121" s="32" t="s">
        <v>0</v>
      </c>
      <c r="B121" s="33" t="s">
        <v>1</v>
      </c>
      <c r="C121" s="34" t="s">
        <v>2</v>
      </c>
      <c r="D121" s="34" t="s">
        <v>3</v>
      </c>
      <c r="E121" s="25" t="s">
        <v>23</v>
      </c>
      <c r="F121" s="25"/>
      <c r="G121" s="25"/>
      <c r="H121" s="26" t="s">
        <v>5</v>
      </c>
      <c r="I121" s="26" t="s">
        <v>6</v>
      </c>
      <c r="J121" s="25" t="s">
        <v>24</v>
      </c>
      <c r="K121" s="25"/>
      <c r="L121" s="25"/>
      <c r="M121" s="26" t="s">
        <v>5</v>
      </c>
      <c r="N121" s="26" t="s">
        <v>6</v>
      </c>
      <c r="O121" s="25" t="s">
        <v>25</v>
      </c>
      <c r="P121" s="25"/>
      <c r="Q121" s="25"/>
      <c r="R121" s="26" t="s">
        <v>5</v>
      </c>
      <c r="S121" s="26" t="s">
        <v>6</v>
      </c>
      <c r="T121" s="25" t="s">
        <v>26</v>
      </c>
      <c r="U121" s="25"/>
      <c r="V121" s="25"/>
      <c r="W121" s="26" t="s">
        <v>5</v>
      </c>
      <c r="X121" s="26" t="s">
        <v>6</v>
      </c>
    </row>
    <row r="122" spans="1:24" x14ac:dyDescent="0.25">
      <c r="A122" s="32"/>
      <c r="B122" s="33"/>
      <c r="C122" s="35"/>
      <c r="D122" s="35"/>
      <c r="E122" s="1" t="s">
        <v>7</v>
      </c>
      <c r="F122" s="1" t="s">
        <v>8</v>
      </c>
      <c r="G122" s="2" t="s">
        <v>9</v>
      </c>
      <c r="H122" s="27"/>
      <c r="I122" s="27"/>
      <c r="J122" s="1" t="s">
        <v>7</v>
      </c>
      <c r="K122" s="1" t="s">
        <v>8</v>
      </c>
      <c r="L122" s="2" t="s">
        <v>9</v>
      </c>
      <c r="M122" s="27"/>
      <c r="N122" s="27"/>
      <c r="O122" s="1" t="s">
        <v>7</v>
      </c>
      <c r="P122" s="1" t="s">
        <v>8</v>
      </c>
      <c r="Q122" s="2" t="s">
        <v>9</v>
      </c>
      <c r="R122" s="27"/>
      <c r="S122" s="27"/>
      <c r="T122" s="1" t="s">
        <v>7</v>
      </c>
      <c r="U122" s="1" t="s">
        <v>8</v>
      </c>
      <c r="V122" s="2" t="s">
        <v>9</v>
      </c>
      <c r="W122" s="27"/>
      <c r="X122" s="27"/>
    </row>
    <row r="123" spans="1:24" x14ac:dyDescent="0.25">
      <c r="A123" s="28">
        <v>1</v>
      </c>
      <c r="B123" s="5">
        <v>5</v>
      </c>
      <c r="C123" s="6">
        <v>847</v>
      </c>
      <c r="D123" s="6">
        <v>600</v>
      </c>
      <c r="E123" s="6">
        <v>253.44264934460429</v>
      </c>
      <c r="F123" s="6">
        <v>1.6921405948372903</v>
      </c>
      <c r="G123" s="6">
        <v>6.6766213153670829E-3</v>
      </c>
      <c r="H123" s="22">
        <f>F123+F124-F125-F126</f>
        <v>-1.7238136984970565E-2</v>
      </c>
      <c r="I123" s="22">
        <f>-H123/(2*(G123+G124+G125+G126))</f>
        <v>0.17486034894798536</v>
      </c>
      <c r="J123" s="6">
        <f>E123+I123</f>
        <v>253.61750969355228</v>
      </c>
      <c r="K123" s="6">
        <f>10.67*((ABS(J123)/1000)^1.852)*C123/((100^1.852)*(D123/1000)^4.87)</f>
        <v>1.6943033964766994</v>
      </c>
      <c r="L123" s="6">
        <f>ABS(K123/J123)</f>
        <v>6.6805458287321623E-3</v>
      </c>
      <c r="M123" s="22">
        <f>K123+K124-K125-K126</f>
        <v>-3.0730576582182589E-2</v>
      </c>
      <c r="N123" s="22">
        <f>-M123/(2*(L123+L124+L125+L126))</f>
        <v>0.31190265995921668</v>
      </c>
      <c r="O123" s="6">
        <f>J123+N123</f>
        <v>253.92941235351151</v>
      </c>
      <c r="P123" s="6">
        <f>10.67*((ABS(O123)/1000)^1.852)*C123/((100^1.852)*(D123/1000)^4.87)</f>
        <v>1.6981643934620099</v>
      </c>
      <c r="Q123" s="6">
        <f>ABS(P123/O123)</f>
        <v>6.6875450847650756E-3</v>
      </c>
      <c r="R123" s="22">
        <f>P123+P124-P125-P126</f>
        <v>-1.511164799499598E-2</v>
      </c>
      <c r="S123" s="22">
        <f>-R123/(2*(Q123+Q124+Q125+Q126))</f>
        <v>0.1533178060165743</v>
      </c>
      <c r="T123" s="6">
        <f>O123+S123</f>
        <v>254.0827301595281</v>
      </c>
      <c r="U123" s="6">
        <f>10.67*((ABS(T123)/1000)^1.852)*C123/((100^1.852)*(D123/1000)^4.87)</f>
        <v>1.7000637740215621</v>
      </c>
      <c r="V123" s="6">
        <f>ABS(U123/T123)</f>
        <v>6.6909851486331318E-3</v>
      </c>
      <c r="W123" s="22">
        <f>U123+U124-U125-U126</f>
        <v>-2.117266632867687E-2</v>
      </c>
      <c r="X123" s="22">
        <f>-W123/(2*(V123+V124+V125+V126))</f>
        <v>0.21487320236832128</v>
      </c>
    </row>
    <row r="124" spans="1:24" x14ac:dyDescent="0.25">
      <c r="A124" s="28"/>
      <c r="B124" s="8">
        <v>9</v>
      </c>
      <c r="C124" s="9">
        <v>1121</v>
      </c>
      <c r="D124" s="9">
        <v>400</v>
      </c>
      <c r="E124" s="6">
        <v>77.356064832127956</v>
      </c>
      <c r="F124" s="6">
        <v>1.7915521112818067</v>
      </c>
      <c r="G124" s="6">
        <v>2.3159814491206243E-2</v>
      </c>
      <c r="H124" s="23"/>
      <c r="I124" s="23"/>
      <c r="J124" s="6">
        <f>E124+I123-I136</f>
        <v>77.122202425644588</v>
      </c>
      <c r="K124" s="6">
        <f t="shared" ref="K124:K148" si="68">10.67*((ABS(J124)/1000)^1.852)*C124/((100^1.852)*(D124/1000)^4.87)</f>
        <v>1.7815342108824901</v>
      </c>
      <c r="L124" s="6">
        <f>ABS(K124/J124)</f>
        <v>2.3100146972593411E-2</v>
      </c>
      <c r="M124" s="23"/>
      <c r="N124" s="23"/>
      <c r="O124" s="6">
        <f>J124+N123-N136</f>
        <v>77.250906664217794</v>
      </c>
      <c r="P124" s="6">
        <f t="shared" ref="P124:P148" si="69">10.67*((ABS(O124)/1000)^1.852)*C124/((100^1.852)*(D124/1000)^4.87)</f>
        <v>1.7870442818217041</v>
      </c>
      <c r="Q124" s="6">
        <f>ABS(P124/O124)</f>
        <v>2.3132987805429259E-2</v>
      </c>
      <c r="R124" s="23"/>
      <c r="S124" s="23"/>
      <c r="T124" s="6">
        <f>O124+S123-S136</f>
        <v>77.125802338883517</v>
      </c>
      <c r="U124" s="6">
        <f>10.67*((ABS(T124)/1000)^1.852)*C124/((100^1.852)*(D124/1000)^4.87)</f>
        <v>1.7816882235330687</v>
      </c>
      <c r="V124" s="6">
        <f>ABS(U124/T124)</f>
        <v>2.3101065655103312E-2</v>
      </c>
      <c r="W124" s="23"/>
      <c r="X124" s="23"/>
    </row>
    <row r="125" spans="1:24" x14ac:dyDescent="0.25">
      <c r="A125" s="28"/>
      <c r="B125" s="3">
        <v>-6</v>
      </c>
      <c r="C125" s="4">
        <v>1075</v>
      </c>
      <c r="D125" s="4">
        <v>450</v>
      </c>
      <c r="E125" s="6">
        <v>-106.73874866517211</v>
      </c>
      <c r="F125" s="6">
        <v>1.7574399072592695</v>
      </c>
      <c r="G125" s="6">
        <v>1.6464872684353534E-2</v>
      </c>
      <c r="H125" s="23"/>
      <c r="I125" s="23"/>
      <c r="J125" s="6">
        <f>E125+I123-I127</f>
        <v>-106.95518406816437</v>
      </c>
      <c r="K125" s="6">
        <f t="shared" si="68"/>
        <v>1.7640453602585355</v>
      </c>
      <c r="L125" s="6">
        <f t="shared" ref="L125" si="70">ABS(K125/J125)</f>
        <v>1.649331330339518E-2</v>
      </c>
      <c r="M125" s="23"/>
      <c r="N125" s="23"/>
      <c r="O125" s="6">
        <f>J125+N123-N127</f>
        <v>-106.80706792487931</v>
      </c>
      <c r="P125" s="6">
        <f t="shared" si="69"/>
        <v>1.7595237306486149</v>
      </c>
      <c r="Q125" s="6">
        <f t="shared" ref="Q125" si="71">ABS(P125/O125)</f>
        <v>1.6473851074033246E-2</v>
      </c>
      <c r="R125" s="23"/>
      <c r="S125" s="23"/>
      <c r="T125" s="6">
        <f>O125+S123-S127</f>
        <v>-106.92018112776641</v>
      </c>
      <c r="U125" s="6">
        <f t="shared" ref="U125:U148" si="72">10.67*((ABS(T125)/1000)^1.852)*C125/((100^1.852)*(D125/1000)^4.87)</f>
        <v>1.7629763229379247</v>
      </c>
      <c r="V125" s="6">
        <f t="shared" ref="V125" si="73">ABS(U125/T125)</f>
        <v>1.6488714331967143E-2</v>
      </c>
      <c r="W125" s="23"/>
      <c r="X125" s="23"/>
    </row>
    <row r="126" spans="1:24" x14ac:dyDescent="0.25">
      <c r="A126" s="28"/>
      <c r="B126" s="5">
        <v>-2</v>
      </c>
      <c r="C126" s="6">
        <v>757</v>
      </c>
      <c r="D126" s="6">
        <v>800</v>
      </c>
      <c r="E126" s="6">
        <v>-583.13735065539561</v>
      </c>
      <c r="F126" s="6">
        <v>1.7434909358447981</v>
      </c>
      <c r="G126" s="6">
        <v>2.9898461038128771E-3</v>
      </c>
      <c r="H126" s="24"/>
      <c r="I126" s="24"/>
      <c r="J126" s="6">
        <f>E126+I123</f>
        <v>-582.96249030644765</v>
      </c>
      <c r="K126" s="6">
        <f t="shared" si="68"/>
        <v>1.7425228236828365</v>
      </c>
      <c r="L126" s="6">
        <f>ABS(K126/J126)</f>
        <v>2.9890822354056421E-3</v>
      </c>
      <c r="M126" s="24"/>
      <c r="N126" s="24"/>
      <c r="O126" s="6">
        <f>J126+N123</f>
        <v>-582.65058764648848</v>
      </c>
      <c r="P126" s="6">
        <f t="shared" si="69"/>
        <v>1.740796592630095</v>
      </c>
      <c r="Q126" s="6">
        <f>ABS(P126/O126)</f>
        <v>2.9877196205391771E-3</v>
      </c>
      <c r="R126" s="24"/>
      <c r="S126" s="24"/>
      <c r="T126" s="6">
        <f>O126+S123</f>
        <v>-582.49726984047186</v>
      </c>
      <c r="U126" s="6">
        <f t="shared" si="72"/>
        <v>1.7399483409453831</v>
      </c>
      <c r="V126" s="6">
        <f>ABS(U126/T126)</f>
        <v>2.9870497786571629E-3</v>
      </c>
      <c r="W126" s="24"/>
      <c r="X126" s="24"/>
    </row>
    <row r="127" spans="1:24" x14ac:dyDescent="0.25">
      <c r="A127" s="28">
        <v>2</v>
      </c>
      <c r="B127" s="3">
        <v>6</v>
      </c>
      <c r="C127" s="4">
        <v>1075</v>
      </c>
      <c r="D127" s="4">
        <v>450</v>
      </c>
      <c r="E127" s="6">
        <v>106.7387486651721</v>
      </c>
      <c r="F127" s="6">
        <v>1.7574399072592681</v>
      </c>
      <c r="G127" s="6">
        <v>1.6464872684353524E-2</v>
      </c>
      <c r="H127" s="22">
        <f>F127+F128-F129-F130</f>
        <v>-7.4156689569051082E-2</v>
      </c>
      <c r="I127" s="22">
        <f>-H127/(2*(G127+G128+G129+G130))</f>
        <v>0.39129575194024951</v>
      </c>
      <c r="J127" s="6">
        <f>E127+I127-I123</f>
        <v>106.95518406816436</v>
      </c>
      <c r="K127" s="6">
        <f t="shared" si="68"/>
        <v>1.7640453602585355</v>
      </c>
      <c r="L127" s="6">
        <f t="shared" ref="L127:L133" si="74">ABS(K127/J127)</f>
        <v>1.6493313303395183E-2</v>
      </c>
      <c r="M127" s="22">
        <f>K127+K128-K129-K130</f>
        <v>-3.1135255970323072E-2</v>
      </c>
      <c r="N127" s="22">
        <f>-M127/(2*(L127+L128+L129+L130))</f>
        <v>0.16378651667415056</v>
      </c>
      <c r="O127" s="6">
        <f>J127+N127-N123</f>
        <v>106.80706792487929</v>
      </c>
      <c r="P127" s="6">
        <f t="shared" si="69"/>
        <v>1.7595237306486133</v>
      </c>
      <c r="Q127" s="6">
        <f t="shared" ref="Q127:Q133" si="75">ABS(P127/O127)</f>
        <v>1.6473851074033236E-2</v>
      </c>
      <c r="R127" s="22">
        <f>P127+P128-P129-P130</f>
        <v>-5.0518522449582992E-2</v>
      </c>
      <c r="S127" s="22">
        <f>-R127/(2*(Q127+Q128+Q129+Q130))</f>
        <v>0.26643100890367694</v>
      </c>
      <c r="T127" s="6">
        <f>O127+S127-S123</f>
        <v>106.9201811277664</v>
      </c>
      <c r="U127" s="6">
        <f t="shared" si="72"/>
        <v>1.7629763229379234</v>
      </c>
      <c r="V127" s="6">
        <f t="shared" ref="V127:V133" si="76">ABS(U127/T127)</f>
        <v>1.6488714331967132E-2</v>
      </c>
      <c r="W127" s="22">
        <f>U127+U128-U129-U130</f>
        <v>-2.7079070200405564E-2</v>
      </c>
      <c r="X127" s="22">
        <f>-W127/(2*(V127+V128+V129+V130))</f>
        <v>0.14259635999105272</v>
      </c>
    </row>
    <row r="128" spans="1:24" x14ac:dyDescent="0.25">
      <c r="A128" s="28"/>
      <c r="B128" s="20">
        <v>10</v>
      </c>
      <c r="C128" s="21">
        <v>1300</v>
      </c>
      <c r="D128" s="21">
        <v>300</v>
      </c>
      <c r="E128" s="6">
        <v>40.109253860105255</v>
      </c>
      <c r="F128" s="6">
        <v>2.498827224996111</v>
      </c>
      <c r="G128" s="6">
        <v>6.2300516327519477E-2</v>
      </c>
      <c r="H128" s="23"/>
      <c r="I128" s="23"/>
      <c r="J128" s="6">
        <f>E128+I127-I140</f>
        <v>40.324394182793156</v>
      </c>
      <c r="K128" s="6">
        <f t="shared" si="68"/>
        <v>2.5237069407710075</v>
      </c>
      <c r="L128" s="6">
        <f t="shared" si="74"/>
        <v>6.2585117319577735E-2</v>
      </c>
      <c r="M128" s="23"/>
      <c r="N128" s="23"/>
      <c r="O128" s="6">
        <f>J128+N127-N140</f>
        <v>40.161441668116339</v>
      </c>
      <c r="P128" s="6">
        <f t="shared" si="69"/>
        <v>2.5048520207104352</v>
      </c>
      <c r="Q128" s="6">
        <f t="shared" si="75"/>
        <v>6.2369574314833566E-2</v>
      </c>
      <c r="R128" s="23"/>
      <c r="S128" s="23"/>
      <c r="T128" s="6">
        <f>O128+S127-S140</f>
        <v>40.269943533447723</v>
      </c>
      <c r="U128" s="6">
        <f t="shared" si="72"/>
        <v>2.5173993253447282</v>
      </c>
      <c r="V128" s="6">
        <f t="shared" si="76"/>
        <v>6.2513107902766415E-2</v>
      </c>
      <c r="W128" s="23"/>
      <c r="X128" s="23"/>
    </row>
    <row r="129" spans="1:24" x14ac:dyDescent="0.25">
      <c r="A129" s="28"/>
      <c r="B129" s="12">
        <v>-7</v>
      </c>
      <c r="C129" s="13">
        <v>600</v>
      </c>
      <c r="D129" s="13">
        <v>500</v>
      </c>
      <c r="E129" s="6">
        <v>-174.82069786278174</v>
      </c>
      <c r="F129" s="6">
        <v>1.4642448528684315</v>
      </c>
      <c r="G129" s="6">
        <v>8.3756950450897399E-3</v>
      </c>
      <c r="H129" s="23"/>
      <c r="I129" s="23"/>
      <c r="J129" s="6">
        <f>E129+I127-I131</f>
        <v>-174.43230318422982</v>
      </c>
      <c r="K129" s="6">
        <f t="shared" si="68"/>
        <v>1.4582258598539992</v>
      </c>
      <c r="L129" s="6">
        <f t="shared" si="74"/>
        <v>8.3598383627020486E-3</v>
      </c>
      <c r="M129" s="23"/>
      <c r="N129" s="23"/>
      <c r="O129" s="6">
        <f>J129+N127-N131</f>
        <v>-174.32341885891523</v>
      </c>
      <c r="P129" s="6">
        <f t="shared" si="69"/>
        <v>1.4565405152243476</v>
      </c>
      <c r="Q129" s="6">
        <f t="shared" si="75"/>
        <v>8.3553920910831043E-3</v>
      </c>
      <c r="R129" s="23"/>
      <c r="S129" s="23"/>
      <c r="T129" s="6">
        <f>O129+S127-S131</f>
        <v>-174.08500765258935</v>
      </c>
      <c r="U129" s="6">
        <f t="shared" si="72"/>
        <v>1.4528534453708009</v>
      </c>
      <c r="V129" s="6">
        <f t="shared" si="76"/>
        <v>8.3456551770969868E-3</v>
      </c>
      <c r="W129" s="23"/>
      <c r="X129" s="23"/>
    </row>
    <row r="130" spans="1:24" x14ac:dyDescent="0.25">
      <c r="A130" s="28"/>
      <c r="B130" s="5">
        <v>-3</v>
      </c>
      <c r="C130" s="6">
        <v>690</v>
      </c>
      <c r="D130" s="6">
        <v>600</v>
      </c>
      <c r="E130" s="6">
        <v>-376.29860199022369</v>
      </c>
      <c r="F130" s="6">
        <v>2.8661789689559987</v>
      </c>
      <c r="G130" s="6">
        <v>7.6167675186591911E-3</v>
      </c>
      <c r="H130" s="24"/>
      <c r="I130" s="24"/>
      <c r="J130" s="6">
        <f>E130+I127</f>
        <v>-375.90730623828341</v>
      </c>
      <c r="K130" s="6">
        <f t="shared" si="68"/>
        <v>2.8606616971458667</v>
      </c>
      <c r="L130" s="6">
        <f t="shared" si="74"/>
        <v>7.6100188787831795E-3</v>
      </c>
      <c r="M130" s="24"/>
      <c r="N130" s="24"/>
      <c r="O130" s="6">
        <f>J130+N127</f>
        <v>-375.74351972160923</v>
      </c>
      <c r="P130" s="6">
        <f t="shared" si="69"/>
        <v>2.8583537585842844</v>
      </c>
      <c r="Q130" s="6">
        <f t="shared" si="75"/>
        <v>7.6071937599936704E-3</v>
      </c>
      <c r="R130" s="24"/>
      <c r="S130" s="24"/>
      <c r="T130" s="6">
        <f>O130+S127</f>
        <v>-375.47708871270555</v>
      </c>
      <c r="U130" s="6">
        <f t="shared" si="72"/>
        <v>2.8546012731122565</v>
      </c>
      <c r="V130" s="6">
        <f t="shared" si="76"/>
        <v>7.6025977587581665E-3</v>
      </c>
      <c r="W130" s="24"/>
      <c r="X130" s="24"/>
    </row>
    <row r="131" spans="1:24" x14ac:dyDescent="0.25">
      <c r="A131" s="28">
        <v>3</v>
      </c>
      <c r="B131" s="12">
        <v>7</v>
      </c>
      <c r="C131" s="13">
        <v>600</v>
      </c>
      <c r="D131" s="13">
        <v>500</v>
      </c>
      <c r="E131" s="6">
        <v>174.82069786278171</v>
      </c>
      <c r="F131" s="6">
        <v>1.4642448528684313</v>
      </c>
      <c r="G131" s="6">
        <v>8.3756950450897399E-3</v>
      </c>
      <c r="H131" s="22">
        <f>F131+F132+F133-F134-F135</f>
        <v>-1.480029705905217E-3</v>
      </c>
      <c r="I131" s="22">
        <f>-H131/(2*(G131+G132+G133+G134+G135))</f>
        <v>2.9010733883293978E-3</v>
      </c>
      <c r="J131" s="6">
        <f>E131+I131-I127</f>
        <v>174.4323031842298</v>
      </c>
      <c r="K131" s="6">
        <f t="shared" si="68"/>
        <v>1.4582258598539983</v>
      </c>
      <c r="L131" s="6">
        <f t="shared" si="74"/>
        <v>8.3598383627020451E-3</v>
      </c>
      <c r="M131" s="22">
        <f>K131+K132+K133-K134-K135</f>
        <v>-2.7930870181631651E-2</v>
      </c>
      <c r="N131" s="22">
        <f>-M131/(2*(L131+L132+L133+L134+L135))</f>
        <v>5.4902191359558337E-2</v>
      </c>
      <c r="O131" s="6">
        <f>J131+N131-N127</f>
        <v>174.3234188589152</v>
      </c>
      <c r="P131" s="6">
        <f t="shared" si="69"/>
        <v>1.4565405152243467</v>
      </c>
      <c r="Q131" s="6">
        <f t="shared" si="75"/>
        <v>8.3553920910831008E-3</v>
      </c>
      <c r="R131" s="22">
        <f>P131+P132+P133-P134-P135</f>
        <v>-1.428231463900298E-2</v>
      </c>
      <c r="S131" s="22">
        <f>-R131/(2*(Q131+Q132+Q133+Q134+Q135))</f>
        <v>2.801980257781209E-2</v>
      </c>
      <c r="T131" s="6">
        <f>O131+S131-S127</f>
        <v>174.08500765258933</v>
      </c>
      <c r="U131" s="6">
        <f t="shared" si="72"/>
        <v>1.4528534453708009</v>
      </c>
      <c r="V131" s="6">
        <f t="shared" si="76"/>
        <v>8.3456551770969886E-3</v>
      </c>
      <c r="W131" s="22">
        <f>U131+U132+U133-U134-U135</f>
        <v>-2.4714044226189724E-2</v>
      </c>
      <c r="X131" s="22">
        <f>-W131/(2*(V131+V132+V133+V134+V135))</f>
        <v>4.854053159287286E-2</v>
      </c>
    </row>
    <row r="132" spans="1:24" x14ac:dyDescent="0.25">
      <c r="A132" s="28"/>
      <c r="B132" s="18">
        <v>14</v>
      </c>
      <c r="C132" s="19">
        <v>460</v>
      </c>
      <c r="D132" s="19">
        <v>500</v>
      </c>
      <c r="E132" s="6">
        <v>133.04995172288702</v>
      </c>
      <c r="F132" s="6">
        <v>0.6770388557022391</v>
      </c>
      <c r="G132" s="6">
        <v>5.0886065491580037E-3</v>
      </c>
      <c r="H132" s="23"/>
      <c r="I132" s="23"/>
      <c r="J132" s="6">
        <f>E132+I131-I140</f>
        <v>132.87669736702298</v>
      </c>
      <c r="K132" s="6">
        <f t="shared" si="68"/>
        <v>0.67540699524057124</v>
      </c>
      <c r="L132" s="6">
        <f t="shared" si="74"/>
        <v>5.0829604334235367E-3</v>
      </c>
      <c r="M132" s="23"/>
      <c r="N132" s="23"/>
      <c r="O132" s="6">
        <f>J132+N131-N140</f>
        <v>132.60486052703158</v>
      </c>
      <c r="P132" s="6">
        <f t="shared" si="69"/>
        <v>0.67285025073055882</v>
      </c>
      <c r="Q132" s="6">
        <f t="shared" si="75"/>
        <v>5.074099456508217E-3</v>
      </c>
      <c r="R132" s="23"/>
      <c r="S132" s="23"/>
      <c r="T132" s="6">
        <f>O132+S131-S140</f>
        <v>132.47495118603709</v>
      </c>
      <c r="U132" s="6">
        <f t="shared" si="72"/>
        <v>0.67162997199814523</v>
      </c>
      <c r="V132" s="6">
        <f t="shared" si="76"/>
        <v>5.0698638949106881E-3</v>
      </c>
      <c r="W132" s="23"/>
      <c r="X132" s="23"/>
    </row>
    <row r="133" spans="1:24" x14ac:dyDescent="0.25">
      <c r="A133" s="28"/>
      <c r="B133" s="16">
        <v>11</v>
      </c>
      <c r="C133" s="17">
        <v>1590</v>
      </c>
      <c r="D133" s="17">
        <v>200</v>
      </c>
      <c r="E133" s="6">
        <v>12.659989286150713</v>
      </c>
      <c r="F133" s="6">
        <v>2.6016687899211117</v>
      </c>
      <c r="G133" s="6">
        <v>0.20550323788719038</v>
      </c>
      <c r="H133" s="23"/>
      <c r="I133" s="23"/>
      <c r="J133" s="6">
        <f>E133+I131-I145</f>
        <v>12.609998646306625</v>
      </c>
      <c r="K133" s="6">
        <f t="shared" si="68"/>
        <v>2.5826747634011618</v>
      </c>
      <c r="L133" s="6">
        <f t="shared" si="74"/>
        <v>0.20481166063864789</v>
      </c>
      <c r="M133" s="23"/>
      <c r="N133" s="23"/>
      <c r="O133" s="6">
        <f>J133+N131-N145</f>
        <v>12.647438147755009</v>
      </c>
      <c r="P133" s="6">
        <f t="shared" si="69"/>
        <v>2.5968939446456738</v>
      </c>
      <c r="Q133" s="6">
        <f t="shared" si="75"/>
        <v>0.20532964180628446</v>
      </c>
      <c r="R133" s="23"/>
      <c r="S133" s="23"/>
      <c r="T133" s="6">
        <f>O133+S131-S145</f>
        <v>12.62797176639898</v>
      </c>
      <c r="U133" s="6">
        <f t="shared" si="72"/>
        <v>2.5894963081772389</v>
      </c>
      <c r="V133" s="6">
        <f t="shared" si="76"/>
        <v>0.20506034983919394</v>
      </c>
      <c r="W133" s="23"/>
      <c r="X133" s="23"/>
    </row>
    <row r="134" spans="1:24" x14ac:dyDescent="0.25">
      <c r="A134" s="28"/>
      <c r="B134" s="5">
        <v>-8</v>
      </c>
      <c r="C134" s="6">
        <v>284</v>
      </c>
      <c r="D134" s="6">
        <v>400</v>
      </c>
      <c r="E134" s="6">
        <v>-112.67790412744185</v>
      </c>
      <c r="F134" s="6">
        <v>0.91086913407129266</v>
      </c>
      <c r="G134" s="6">
        <v>8.083830997078845E-3</v>
      </c>
      <c r="H134" s="23"/>
      <c r="I134" s="23"/>
      <c r="J134" s="6">
        <f>E134+I131</f>
        <v>-112.67500305405352</v>
      </c>
      <c r="K134" s="6">
        <f t="shared" si="68"/>
        <v>0.91082570183817646</v>
      </c>
      <c r="L134" s="6">
        <f>ABS(K134/J134)</f>
        <v>8.0836536689617537E-3</v>
      </c>
      <c r="M134" s="23"/>
      <c r="N134" s="23"/>
      <c r="O134" s="6">
        <f>J134+N131</f>
        <v>-112.62010086269396</v>
      </c>
      <c r="P134" s="6">
        <f t="shared" si="69"/>
        <v>0.91000393577772487</v>
      </c>
      <c r="Q134" s="6">
        <f>ABS(P134/O134)</f>
        <v>8.0802976449754604E-3</v>
      </c>
      <c r="R134" s="23"/>
      <c r="S134" s="23"/>
      <c r="T134" s="6">
        <f>O134+S131</f>
        <v>-112.59208106011614</v>
      </c>
      <c r="U134" s="6">
        <f t="shared" si="72"/>
        <v>0.90958467196558757</v>
      </c>
      <c r="V134" s="6">
        <f>ABS(U134/T134)</f>
        <v>8.0785847761347812E-3</v>
      </c>
      <c r="W134" s="23"/>
      <c r="X134" s="23"/>
    </row>
    <row r="135" spans="1:24" x14ac:dyDescent="0.25">
      <c r="A135" s="28"/>
      <c r="B135" s="5">
        <v>-4</v>
      </c>
      <c r="C135" s="6">
        <v>835</v>
      </c>
      <c r="D135" s="5">
        <v>400</v>
      </c>
      <c r="E135" s="6">
        <v>-136.75790412744189</v>
      </c>
      <c r="F135" s="6">
        <v>3.8335633941263945</v>
      </c>
      <c r="G135" s="6">
        <v>2.8031750110428535E-2</v>
      </c>
      <c r="H135" s="24"/>
      <c r="I135" s="24"/>
      <c r="J135" s="6">
        <f>E135+I131</f>
        <v>-136.75500305405356</v>
      </c>
      <c r="K135" s="6">
        <f t="shared" si="68"/>
        <v>3.8334127868391867</v>
      </c>
      <c r="L135" s="6">
        <f t="shared" ref="L135" si="77">ABS(K135/J135)</f>
        <v>2.8031243473586105E-2</v>
      </c>
      <c r="M135" s="24"/>
      <c r="N135" s="24"/>
      <c r="O135" s="6">
        <f>J135+N131</f>
        <v>-136.700100862694</v>
      </c>
      <c r="P135" s="6">
        <f t="shared" si="69"/>
        <v>3.8305630894618572</v>
      </c>
      <c r="Q135" s="6">
        <f t="shared" ref="Q135" si="78">ABS(P135/O135)</f>
        <v>2.8021655180118694E-2</v>
      </c>
      <c r="R135" s="24"/>
      <c r="S135" s="24"/>
      <c r="T135" s="6">
        <f>O135+S131</f>
        <v>-136.6720810601162</v>
      </c>
      <c r="U135" s="6">
        <f t="shared" si="72"/>
        <v>3.829109097806787</v>
      </c>
      <c r="V135" s="6">
        <f t="shared" ref="V135" si="79">ABS(U135/T135)</f>
        <v>2.8016761492952798E-2</v>
      </c>
      <c r="W135" s="24"/>
      <c r="X135" s="24"/>
    </row>
    <row r="136" spans="1:24" x14ac:dyDescent="0.25">
      <c r="A136" s="28">
        <v>4</v>
      </c>
      <c r="B136" s="5">
        <v>12</v>
      </c>
      <c r="C136" s="6">
        <v>385</v>
      </c>
      <c r="D136" s="5">
        <v>400</v>
      </c>
      <c r="E136" s="6">
        <v>104.4265845124763</v>
      </c>
      <c r="F136" s="6">
        <v>1.0725834703162909</v>
      </c>
      <c r="G136" s="6">
        <v>1.0271172568974949E-2</v>
      </c>
      <c r="H136" s="22">
        <f>F136+F137-F138-F139</f>
        <v>-0.29673300195562002</v>
      </c>
      <c r="I136" s="22">
        <f>-H136/(2*(G136+G137+G138+G139))</f>
        <v>0.40872275543135467</v>
      </c>
      <c r="J136" s="6">
        <f>E136+I136</f>
        <v>104.83530726790765</v>
      </c>
      <c r="K136" s="6">
        <f t="shared" si="68"/>
        <v>1.0803712419023117</v>
      </c>
      <c r="L136" s="6">
        <f>ABS(K136/J136)</f>
        <v>1.030541398749767E-2</v>
      </c>
      <c r="M136" s="22">
        <f>K136+K137-K138-K139</f>
        <v>-0.12963614817322999</v>
      </c>
      <c r="N136" s="22">
        <f>-M136/(2*(L136+L137+L138+L139))</f>
        <v>0.18319842138600773</v>
      </c>
      <c r="O136" s="6">
        <f>J136+N136</f>
        <v>105.01850568929366</v>
      </c>
      <c r="P136" s="6">
        <f t="shared" si="69"/>
        <v>1.083870301228095</v>
      </c>
      <c r="Q136" s="6">
        <f>ABS(P136/O136)</f>
        <v>1.0320755319398842E-2</v>
      </c>
      <c r="R136" s="22">
        <f>P136+P137-P138-P139</f>
        <v>-0.20026869300745398</v>
      </c>
      <c r="S136" s="22">
        <f>-R136/(2*(Q136+Q137+Q138+Q139))</f>
        <v>0.27842213135085631</v>
      </c>
      <c r="T136" s="6">
        <f>O136+S136</f>
        <v>105.29692782064451</v>
      </c>
      <c r="U136" s="6">
        <f t="shared" si="72"/>
        <v>1.0891980822833418</v>
      </c>
      <c r="V136" s="6">
        <f>ABS(U136/T136)</f>
        <v>1.034406325831848E-2</v>
      </c>
      <c r="W136" s="22">
        <f>U136+U137-U138-U139</f>
        <v>-0.1089273710169969</v>
      </c>
      <c r="X136" s="22">
        <f>-W136/(2*(V136+V137+V138+V139))</f>
        <v>0.15345775058991962</v>
      </c>
    </row>
    <row r="137" spans="1:24" x14ac:dyDescent="0.25">
      <c r="A137" s="28"/>
      <c r="B137" s="5">
        <v>17</v>
      </c>
      <c r="C137" s="6">
        <v>320</v>
      </c>
      <c r="D137" s="5">
        <v>300</v>
      </c>
      <c r="E137" s="6">
        <v>82.956584512476297</v>
      </c>
      <c r="F137" s="6">
        <v>2.3629018672968281</v>
      </c>
      <c r="G137" s="6">
        <v>2.848359634359655E-2</v>
      </c>
      <c r="H137" s="23"/>
      <c r="I137" s="23"/>
      <c r="J137" s="6">
        <f>E137+I136</f>
        <v>83.365307267907653</v>
      </c>
      <c r="K137" s="6">
        <f t="shared" si="68"/>
        <v>2.3845078974680494</v>
      </c>
      <c r="L137" s="6">
        <f t="shared" ref="L137" si="80">ABS(K137/J137)</f>
        <v>2.8603120118121255E-2</v>
      </c>
      <c r="M137" s="23"/>
      <c r="N137" s="23"/>
      <c r="O137" s="6">
        <f>J137+N136</f>
        <v>83.548505689293663</v>
      </c>
      <c r="P137" s="6">
        <f t="shared" si="69"/>
        <v>2.3942215474540758</v>
      </c>
      <c r="Q137" s="6">
        <f t="shared" ref="Q137" si="81">ABS(P137/O137)</f>
        <v>2.8656665103716915E-2</v>
      </c>
      <c r="R137" s="23"/>
      <c r="S137" s="23"/>
      <c r="T137" s="6">
        <f>O137+S136</f>
        <v>83.826927820644514</v>
      </c>
      <c r="U137" s="6">
        <f t="shared" si="72"/>
        <v>2.4090189804738649</v>
      </c>
      <c r="V137" s="6">
        <f t="shared" ref="V137" si="82">ABS(U137/T137)</f>
        <v>2.8738008693676386E-2</v>
      </c>
      <c r="W137" s="23"/>
      <c r="X137" s="23"/>
    </row>
    <row r="138" spans="1:24" x14ac:dyDescent="0.25">
      <c r="A138" s="28"/>
      <c r="B138" s="10">
        <v>-13</v>
      </c>
      <c r="C138" s="11">
        <v>1020</v>
      </c>
      <c r="D138" s="10">
        <v>150</v>
      </c>
      <c r="E138" s="6">
        <v>-6.4455596371948163</v>
      </c>
      <c r="F138" s="6">
        <v>1.9406662282869303</v>
      </c>
      <c r="G138" s="6">
        <v>0.30108576097692136</v>
      </c>
      <c r="H138" s="23"/>
      <c r="I138" s="23"/>
      <c r="J138" s="6">
        <f>E138+I136-I140</f>
        <v>-6.2129923110158103</v>
      </c>
      <c r="K138" s="6">
        <f t="shared" si="68"/>
        <v>1.8129810766610999</v>
      </c>
      <c r="L138" s="6">
        <f>ABS(K138/J138)</f>
        <v>0.2918048157643191</v>
      </c>
      <c r="M138" s="23"/>
      <c r="N138" s="23"/>
      <c r="O138" s="6">
        <f>J138+N136-N140</f>
        <v>-6.3565329209807722</v>
      </c>
      <c r="P138" s="6">
        <f t="shared" si="69"/>
        <v>1.891316259867919</v>
      </c>
      <c r="Q138" s="6">
        <f>ABS(P138/O138)</f>
        <v>0.29753897028131826</v>
      </c>
      <c r="R138" s="23"/>
      <c r="S138" s="23"/>
      <c r="T138" s="6">
        <f>O138+S136-S140</f>
        <v>-6.2360399332022149</v>
      </c>
      <c r="U138" s="6">
        <f t="shared" si="72"/>
        <v>1.825456210241134</v>
      </c>
      <c r="V138" s="6">
        <f>ABS(U138/T138)</f>
        <v>0.29272683141779687</v>
      </c>
      <c r="W138" s="23"/>
      <c r="X138" s="23"/>
    </row>
    <row r="139" spans="1:24" x14ac:dyDescent="0.25">
      <c r="A139" s="28"/>
      <c r="B139" s="8">
        <v>-9</v>
      </c>
      <c r="C139" s="9">
        <v>1121</v>
      </c>
      <c r="D139" s="8">
        <v>400</v>
      </c>
      <c r="E139" s="6">
        <v>-77.356064832127984</v>
      </c>
      <c r="F139" s="6">
        <v>1.7915521112818085</v>
      </c>
      <c r="G139" s="6">
        <v>2.3159814491206257E-2</v>
      </c>
      <c r="H139" s="24"/>
      <c r="I139" s="24"/>
      <c r="J139" s="6">
        <f>E139+I136-I123</f>
        <v>-77.122202425644616</v>
      </c>
      <c r="K139" s="6">
        <f t="shared" si="68"/>
        <v>1.7815342108824914</v>
      </c>
      <c r="L139" s="6">
        <f t="shared" ref="L139:L148" si="83">ABS(K139/J139)</f>
        <v>2.3100146972593421E-2</v>
      </c>
      <c r="M139" s="24"/>
      <c r="N139" s="24"/>
      <c r="O139" s="6">
        <f>J139+N136-N123</f>
        <v>-77.250906664217823</v>
      </c>
      <c r="P139" s="6">
        <f t="shared" si="69"/>
        <v>1.7870442818217058</v>
      </c>
      <c r="Q139" s="6">
        <f t="shared" ref="Q139:Q148" si="84">ABS(P139/O139)</f>
        <v>2.3132987805429273E-2</v>
      </c>
      <c r="R139" s="24"/>
      <c r="S139" s="24"/>
      <c r="T139" s="6">
        <f>O139+S136-S123</f>
        <v>-77.125802338883545</v>
      </c>
      <c r="U139" s="6">
        <f t="shared" si="72"/>
        <v>1.7816882235330698</v>
      </c>
      <c r="V139" s="6">
        <f t="shared" ref="V139:V148" si="85">ABS(U139/T139)</f>
        <v>2.3101065655103316E-2</v>
      </c>
      <c r="W139" s="24"/>
      <c r="X139" s="24"/>
    </row>
    <row r="140" spans="1:24" x14ac:dyDescent="0.25">
      <c r="A140" s="29">
        <v>5</v>
      </c>
      <c r="B140" s="10">
        <v>13</v>
      </c>
      <c r="C140" s="11">
        <v>1020</v>
      </c>
      <c r="D140" s="10">
        <v>150</v>
      </c>
      <c r="E140" s="6">
        <v>6.4455596371948225</v>
      </c>
      <c r="F140" s="6">
        <v>1.9406662282869336</v>
      </c>
      <c r="G140" s="6">
        <v>0.30108576097692158</v>
      </c>
      <c r="H140" s="22">
        <f>F140+F141-F142-F143-F144</f>
        <v>-0.15737119885718531</v>
      </c>
      <c r="I140" s="22">
        <f>-H140/(2*(G140+G141+G142+G143+G144))</f>
        <v>0.17615542925234862</v>
      </c>
      <c r="J140" s="6">
        <f>E140+I140-I136</f>
        <v>6.2129923110158165</v>
      </c>
      <c r="K140" s="6">
        <f t="shared" si="68"/>
        <v>1.812981076661103</v>
      </c>
      <c r="L140" s="6">
        <f t="shared" si="83"/>
        <v>0.29180481576431933</v>
      </c>
      <c r="M140" s="22">
        <f>K140+K141-K142-K143-K144</f>
        <v>-0.28604122975980628</v>
      </c>
      <c r="N140" s="22">
        <f>-M140/(2*(L140+L141+L142+L143+L144))</f>
        <v>0.32673903135096938</v>
      </c>
      <c r="O140" s="6">
        <f>J140+N140-N136</f>
        <v>6.3565329209807784</v>
      </c>
      <c r="P140" s="6">
        <f t="shared" si="69"/>
        <v>1.8913162598679225</v>
      </c>
      <c r="Q140" s="6">
        <f t="shared" si="84"/>
        <v>0.29753897028131848</v>
      </c>
      <c r="R140" s="22">
        <f>P140+P141-P142-P143-P144</f>
        <v>-0.14000751739646944</v>
      </c>
      <c r="S140" s="22">
        <f>-R140/(2*(Q140+Q141+Q142+Q143+Q144))</f>
        <v>0.1579291435722989</v>
      </c>
      <c r="T140" s="6">
        <f>O140+S140-S136</f>
        <v>6.2360399332022212</v>
      </c>
      <c r="U140" s="6">
        <f t="shared" si="72"/>
        <v>1.8254562102411374</v>
      </c>
      <c r="V140" s="6">
        <f t="shared" si="85"/>
        <v>0.2927268314177971</v>
      </c>
      <c r="W140" s="22">
        <f>U140+U141-U142-U143-U144</f>
        <v>-0.19719836612390962</v>
      </c>
      <c r="X140" s="22">
        <f>-W140/(2*(V140+V141+V142+V143+V144))</f>
        <v>0.22479213816332394</v>
      </c>
    </row>
    <row r="141" spans="1:24" x14ac:dyDescent="0.25">
      <c r="A141" s="30"/>
      <c r="B141" s="5">
        <v>18</v>
      </c>
      <c r="C141" s="6">
        <v>651</v>
      </c>
      <c r="D141" s="5">
        <v>300</v>
      </c>
      <c r="E141" s="6">
        <v>61.512144149671116</v>
      </c>
      <c r="F141" s="6">
        <v>2.762615350656576</v>
      </c>
      <c r="G141" s="6">
        <v>4.4911706279244484E-2</v>
      </c>
      <c r="H141" s="23"/>
      <c r="I141" s="23"/>
      <c r="J141" s="6">
        <f>E141+I140</f>
        <v>61.688299578923463</v>
      </c>
      <c r="K141" s="6">
        <f t="shared" si="68"/>
        <v>2.7772852114825568</v>
      </c>
      <c r="L141" s="6">
        <f t="shared" si="83"/>
        <v>4.5021263844845047E-2</v>
      </c>
      <c r="M141" s="23"/>
      <c r="N141" s="23"/>
      <c r="O141" s="6">
        <f>J141+N140</f>
        <v>62.015038610274431</v>
      </c>
      <c r="P141" s="6">
        <f t="shared" si="69"/>
        <v>2.8045899641164849</v>
      </c>
      <c r="Q141" s="6">
        <f t="shared" si="84"/>
        <v>4.5224352462981947E-2</v>
      </c>
      <c r="R141" s="23"/>
      <c r="S141" s="23"/>
      <c r="T141" s="6">
        <f>O141+S140</f>
        <v>62.172967753846727</v>
      </c>
      <c r="U141" s="6">
        <f t="shared" si="72"/>
        <v>2.8178317467727578</v>
      </c>
      <c r="V141" s="6">
        <f t="shared" si="85"/>
        <v>4.5322458434492452E-2</v>
      </c>
      <c r="W141" s="23"/>
      <c r="X141" s="23"/>
    </row>
    <row r="142" spans="1:24" x14ac:dyDescent="0.25">
      <c r="A142" s="30"/>
      <c r="B142" s="14">
        <f>-15</f>
        <v>-15</v>
      </c>
      <c r="C142" s="15">
        <v>570</v>
      </c>
      <c r="D142" s="14">
        <v>300</v>
      </c>
      <c r="E142" s="6">
        <v>-50.599962436736291</v>
      </c>
      <c r="F142" s="6">
        <v>1.6847866971023444</v>
      </c>
      <c r="G142" s="6">
        <v>3.3296204502301474E-2</v>
      </c>
      <c r="H142" s="23"/>
      <c r="I142" s="23"/>
      <c r="J142" s="6">
        <f>E142+I140-I145</f>
        <v>-50.476698720716364</v>
      </c>
      <c r="K142" s="6">
        <f t="shared" si="68"/>
        <v>1.6771935818918906</v>
      </c>
      <c r="L142" s="6">
        <f t="shared" si="83"/>
        <v>3.3227085455244845E-2</v>
      </c>
      <c r="M142" s="23"/>
      <c r="N142" s="23"/>
      <c r="O142" s="6">
        <f>J142+N140-N145</f>
        <v>-50.167422379276566</v>
      </c>
      <c r="P142" s="6">
        <f t="shared" si="69"/>
        <v>1.658211469939882</v>
      </c>
      <c r="Q142" s="6">
        <f t="shared" si="84"/>
        <v>3.3053551314704679E-2</v>
      </c>
      <c r="R142" s="23"/>
      <c r="S142" s="23"/>
      <c r="T142" s="6">
        <f>O142+S140-S145</f>
        <v>-50.056979419638111</v>
      </c>
      <c r="U142" s="6">
        <f t="shared" si="72"/>
        <v>1.6514570257949328</v>
      </c>
      <c r="V142" s="6">
        <f t="shared" si="85"/>
        <v>3.2991543735598261E-2</v>
      </c>
      <c r="W142" s="23"/>
      <c r="X142" s="23"/>
    </row>
    <row r="143" spans="1:24" x14ac:dyDescent="0.25">
      <c r="A143" s="30"/>
      <c r="B143" s="18">
        <v>-14</v>
      </c>
      <c r="C143" s="19">
        <v>460</v>
      </c>
      <c r="D143" s="18">
        <v>500</v>
      </c>
      <c r="E143" s="6">
        <v>-133.04995172288702</v>
      </c>
      <c r="F143" s="6">
        <v>0.6770388557022391</v>
      </c>
      <c r="G143" s="6">
        <v>5.0886065491580037E-3</v>
      </c>
      <c r="H143" s="23"/>
      <c r="I143" s="23"/>
      <c r="J143" s="6">
        <f>E143+I140-I131</f>
        <v>-132.87669736702298</v>
      </c>
      <c r="K143" s="6">
        <f t="shared" si="68"/>
        <v>0.67540699524057124</v>
      </c>
      <c r="L143" s="6">
        <f t="shared" si="83"/>
        <v>5.0829604334235367E-3</v>
      </c>
      <c r="M143" s="23"/>
      <c r="N143" s="23"/>
      <c r="O143" s="6">
        <f>J143+N140-N131</f>
        <v>-132.60486052703158</v>
      </c>
      <c r="P143" s="6">
        <f t="shared" si="69"/>
        <v>0.67285025073055882</v>
      </c>
      <c r="Q143" s="6">
        <f t="shared" si="84"/>
        <v>5.074099456508217E-3</v>
      </c>
      <c r="R143" s="23"/>
      <c r="S143" s="23"/>
      <c r="T143" s="6">
        <f>O143+S140-S131</f>
        <v>-132.47495118603709</v>
      </c>
      <c r="U143" s="6">
        <f t="shared" si="72"/>
        <v>0.67162997199814523</v>
      </c>
      <c r="V143" s="6">
        <f t="shared" si="85"/>
        <v>5.0698638949106881E-3</v>
      </c>
      <c r="W143" s="23"/>
      <c r="X143" s="23"/>
    </row>
    <row r="144" spans="1:24" x14ac:dyDescent="0.25">
      <c r="A144" s="31"/>
      <c r="B144" s="20">
        <v>-10</v>
      </c>
      <c r="C144" s="21">
        <v>1300</v>
      </c>
      <c r="D144" s="20">
        <v>300</v>
      </c>
      <c r="E144" s="6">
        <v>-40.109253860105248</v>
      </c>
      <c r="F144" s="6">
        <v>2.498827224996111</v>
      </c>
      <c r="G144" s="6">
        <v>6.2300516327519484E-2</v>
      </c>
      <c r="H144" s="24"/>
      <c r="I144" s="24"/>
      <c r="J144" s="6">
        <f>E144+I140-I127</f>
        <v>-40.324394182793149</v>
      </c>
      <c r="K144" s="6">
        <f t="shared" si="68"/>
        <v>2.5237069407710044</v>
      </c>
      <c r="L144" s="6">
        <f t="shared" si="83"/>
        <v>6.2585117319577666E-2</v>
      </c>
      <c r="M144" s="24"/>
      <c r="N144" s="24"/>
      <c r="O144" s="6">
        <f>J144+N140-N127</f>
        <v>-40.161441668116332</v>
      </c>
      <c r="P144" s="6">
        <f t="shared" si="69"/>
        <v>2.5048520207104352</v>
      </c>
      <c r="Q144" s="6">
        <f t="shared" si="84"/>
        <v>6.2369574314833573E-2</v>
      </c>
      <c r="R144" s="24"/>
      <c r="S144" s="24"/>
      <c r="T144" s="6">
        <f>O144+S140-S127</f>
        <v>-40.269943533447716</v>
      </c>
      <c r="U144" s="6">
        <f t="shared" si="72"/>
        <v>2.517399325344726</v>
      </c>
      <c r="V144" s="6">
        <f t="shared" si="85"/>
        <v>6.2513107902766374E-2</v>
      </c>
      <c r="W144" s="24"/>
      <c r="X144" s="24"/>
    </row>
    <row r="145" spans="1:24" x14ac:dyDescent="0.25">
      <c r="A145" s="28">
        <v>6</v>
      </c>
      <c r="B145" s="14">
        <v>15</v>
      </c>
      <c r="C145" s="15">
        <v>570</v>
      </c>
      <c r="D145" s="14">
        <v>300</v>
      </c>
      <c r="E145" s="6">
        <v>50.599962436736305</v>
      </c>
      <c r="F145" s="6">
        <v>1.6847866971023444</v>
      </c>
      <c r="G145" s="6">
        <v>3.3296204502301467E-2</v>
      </c>
      <c r="H145" s="22">
        <f>F145+F146-F147-F148</f>
        <v>-4.6839296615684756E-2</v>
      </c>
      <c r="I145" s="22">
        <f>-H145/(2*(G145+G146+G147+G148))</f>
        <v>5.2891713232418397E-2</v>
      </c>
      <c r="J145" s="6">
        <f>E145+I145-I140</f>
        <v>50.476698720716378</v>
      </c>
      <c r="K145" s="6">
        <f t="shared" si="68"/>
        <v>1.6771935818918924</v>
      </c>
      <c r="L145" s="6">
        <f t="shared" si="83"/>
        <v>3.3227085455244866E-2</v>
      </c>
      <c r="M145" s="22">
        <f>K145+K146-K147-K148</f>
        <v>-1.5445787130971222E-2</v>
      </c>
      <c r="N145" s="22">
        <f>-M145/(2*(L145+L146+L147+L148))</f>
        <v>1.7462689911173106E-2</v>
      </c>
      <c r="O145" s="6">
        <f>J145+N145-N140</f>
        <v>50.16742237927658</v>
      </c>
      <c r="P145" s="6">
        <f t="shared" si="69"/>
        <v>1.658211469939882</v>
      </c>
      <c r="Q145" s="6">
        <f t="shared" si="84"/>
        <v>3.3053551314704673E-2</v>
      </c>
      <c r="R145" s="22">
        <f>P145+P146-P147-P148</f>
        <v>-4.2041458093436734E-2</v>
      </c>
      <c r="S145" s="22">
        <f>-R145/(2*(Q145+Q146+Q147+Q148))</f>
        <v>4.7486183933841977E-2</v>
      </c>
      <c r="T145" s="6">
        <f>O145+S145-S140</f>
        <v>50.056979419638125</v>
      </c>
      <c r="U145" s="6">
        <f t="shared" si="72"/>
        <v>1.6514570257949344</v>
      </c>
      <c r="V145" s="6">
        <f t="shared" si="85"/>
        <v>3.2991543735598282E-2</v>
      </c>
      <c r="W145" s="22">
        <f>U145+U146-U147-U148</f>
        <v>-2.3423394164892919E-2</v>
      </c>
      <c r="X145" s="22">
        <f>-W145/(2*(V145+V146+V147+V148))</f>
        <v>2.6464560429424508E-2</v>
      </c>
    </row>
    <row r="146" spans="1:24" x14ac:dyDescent="0.25">
      <c r="A146" s="28"/>
      <c r="B146" s="5">
        <v>19</v>
      </c>
      <c r="C146" s="6">
        <v>791</v>
      </c>
      <c r="D146" s="5">
        <v>200</v>
      </c>
      <c r="E146" s="6">
        <v>18.082106586407413</v>
      </c>
      <c r="F146" s="6">
        <v>2.5046671403973835</v>
      </c>
      <c r="G146" s="6">
        <v>0.13851633538540131</v>
      </c>
      <c r="H146" s="23"/>
      <c r="I146" s="23"/>
      <c r="J146" s="6">
        <f>E146+I145</f>
        <v>18.134998299639832</v>
      </c>
      <c r="K146" s="6">
        <f t="shared" si="68"/>
        <v>2.5182524757658356</v>
      </c>
      <c r="L146" s="6">
        <f t="shared" si="83"/>
        <v>0.13886146743205643</v>
      </c>
      <c r="M146" s="23"/>
      <c r="N146" s="23"/>
      <c r="O146" s="6">
        <f>J146+N145</f>
        <v>18.152460989551006</v>
      </c>
      <c r="P146" s="6">
        <f t="shared" si="69"/>
        <v>2.5227452229499874</v>
      </c>
      <c r="Q146" s="6">
        <f t="shared" si="84"/>
        <v>0.1389753832498051</v>
      </c>
      <c r="R146" s="23"/>
      <c r="S146" s="23"/>
      <c r="T146" s="6">
        <f>O146+S145</f>
        <v>18.199947173484848</v>
      </c>
      <c r="U146" s="6">
        <f t="shared" si="72"/>
        <v>2.534980949971255</v>
      </c>
      <c r="V146" s="6">
        <f t="shared" si="85"/>
        <v>0.13928507186352826</v>
      </c>
      <c r="W146" s="23"/>
      <c r="X146" s="23"/>
    </row>
    <row r="147" spans="1:24" x14ac:dyDescent="0.25">
      <c r="A147" s="28"/>
      <c r="B147" s="5">
        <v>-16</v>
      </c>
      <c r="C147" s="6">
        <v>284</v>
      </c>
      <c r="D147" s="5">
        <v>200</v>
      </c>
      <c r="E147" s="6">
        <v>-24.967893413592584</v>
      </c>
      <c r="F147" s="6">
        <v>1.6346243441942958</v>
      </c>
      <c r="G147" s="6">
        <v>6.5469053280418216E-2</v>
      </c>
      <c r="H147" s="23"/>
      <c r="I147" s="23"/>
      <c r="J147" s="6">
        <f>E147+I145</f>
        <v>-24.915001700360165</v>
      </c>
      <c r="K147" s="6">
        <f t="shared" si="68"/>
        <v>1.6282170813875374</v>
      </c>
      <c r="L147" s="6">
        <f t="shared" si="83"/>
        <v>6.5350871774734837E-2</v>
      </c>
      <c r="M147" s="23"/>
      <c r="N147" s="23"/>
      <c r="O147" s="6">
        <f>J147+N145</f>
        <v>-24.897539010448991</v>
      </c>
      <c r="P147" s="6">
        <f t="shared" si="69"/>
        <v>1.6261042063376319</v>
      </c>
      <c r="Q147" s="6">
        <f t="shared" si="84"/>
        <v>6.5311844903835237E-2</v>
      </c>
      <c r="R147" s="23"/>
      <c r="S147" s="23"/>
      <c r="T147" s="6">
        <f>O147+S145</f>
        <v>-24.850052826515149</v>
      </c>
      <c r="U147" s="6">
        <f t="shared" si="72"/>
        <v>1.6203650617538436</v>
      </c>
      <c r="V147" s="6">
        <f t="shared" si="85"/>
        <v>6.5205698879839194E-2</v>
      </c>
      <c r="W147" s="23"/>
      <c r="X147" s="23"/>
    </row>
    <row r="148" spans="1:24" x14ac:dyDescent="0.25">
      <c r="A148" s="28"/>
      <c r="B148" s="16">
        <v>-11</v>
      </c>
      <c r="C148" s="17">
        <v>1590</v>
      </c>
      <c r="D148" s="16">
        <v>200</v>
      </c>
      <c r="E148" s="6">
        <v>-12.659989286150717</v>
      </c>
      <c r="F148" s="6">
        <v>2.6016687899211166</v>
      </c>
      <c r="G148" s="6">
        <v>0.20550323788719072</v>
      </c>
      <c r="H148" s="24"/>
      <c r="I148" s="24"/>
      <c r="J148" s="6">
        <f>E148+I145-I131</f>
        <v>-12.609998646306629</v>
      </c>
      <c r="K148" s="6">
        <f t="shared" si="68"/>
        <v>2.5826747634011618</v>
      </c>
      <c r="L148" s="6">
        <f t="shared" si="83"/>
        <v>0.20481166063864784</v>
      </c>
      <c r="M148" s="24"/>
      <c r="N148" s="24"/>
      <c r="O148" s="6">
        <f>J148+N145-N131</f>
        <v>-12.647438147755013</v>
      </c>
      <c r="P148" s="6">
        <f t="shared" si="69"/>
        <v>2.5968939446456738</v>
      </c>
      <c r="Q148" s="6">
        <f t="shared" si="84"/>
        <v>0.20532964180628441</v>
      </c>
      <c r="R148" s="24"/>
      <c r="S148" s="24"/>
      <c r="T148" s="6">
        <f>O148+S145-S131</f>
        <v>-12.627971766398984</v>
      </c>
      <c r="U148" s="6">
        <f t="shared" si="72"/>
        <v>2.5894963081772389</v>
      </c>
      <c r="V148" s="6">
        <f t="shared" si="85"/>
        <v>0.20506034983919388</v>
      </c>
      <c r="W148" s="24"/>
      <c r="X148" s="24"/>
    </row>
    <row r="151" spans="1:24" x14ac:dyDescent="0.25">
      <c r="A151" s="32" t="s">
        <v>0</v>
      </c>
      <c r="B151" s="33" t="s">
        <v>1</v>
      </c>
      <c r="C151" s="34" t="s">
        <v>2</v>
      </c>
      <c r="D151" s="34" t="s">
        <v>3</v>
      </c>
      <c r="E151" s="25" t="s">
        <v>27</v>
      </c>
      <c r="F151" s="25"/>
      <c r="G151" s="25"/>
      <c r="H151" s="26" t="s">
        <v>5</v>
      </c>
      <c r="I151" s="26" t="s">
        <v>6</v>
      </c>
      <c r="J151" s="25" t="s">
        <v>28</v>
      </c>
      <c r="K151" s="25"/>
      <c r="L151" s="25"/>
      <c r="M151" s="26" t="s">
        <v>5</v>
      </c>
      <c r="N151" s="26" t="s">
        <v>6</v>
      </c>
      <c r="O151" s="25" t="s">
        <v>29</v>
      </c>
      <c r="P151" s="25"/>
      <c r="Q151" s="25"/>
      <c r="R151" s="26" t="s">
        <v>5</v>
      </c>
      <c r="S151" s="26" t="s">
        <v>6</v>
      </c>
      <c r="T151" s="25" t="s">
        <v>30</v>
      </c>
      <c r="U151" s="25"/>
      <c r="V151" s="25"/>
      <c r="W151" s="26" t="s">
        <v>5</v>
      </c>
      <c r="X151" s="26" t="s">
        <v>6</v>
      </c>
    </row>
    <row r="152" spans="1:24" x14ac:dyDescent="0.25">
      <c r="A152" s="32"/>
      <c r="B152" s="33"/>
      <c r="C152" s="35"/>
      <c r="D152" s="35"/>
      <c r="E152" s="1" t="s">
        <v>7</v>
      </c>
      <c r="F152" s="1" t="s">
        <v>8</v>
      </c>
      <c r="G152" s="2" t="s">
        <v>9</v>
      </c>
      <c r="H152" s="27"/>
      <c r="I152" s="27"/>
      <c r="J152" s="1" t="s">
        <v>7</v>
      </c>
      <c r="K152" s="1" t="s">
        <v>8</v>
      </c>
      <c r="L152" s="2" t="s">
        <v>9</v>
      </c>
      <c r="M152" s="27"/>
      <c r="N152" s="27"/>
      <c r="O152" s="1" t="s">
        <v>7</v>
      </c>
      <c r="P152" s="1" t="s">
        <v>8</v>
      </c>
      <c r="Q152" s="2" t="s">
        <v>9</v>
      </c>
      <c r="R152" s="27"/>
      <c r="S152" s="27"/>
      <c r="T152" s="1" t="s">
        <v>7</v>
      </c>
      <c r="U152" s="1" t="s">
        <v>8</v>
      </c>
      <c r="V152" s="2" t="s">
        <v>9</v>
      </c>
      <c r="W152" s="27"/>
      <c r="X152" s="27"/>
    </row>
    <row r="153" spans="1:24" x14ac:dyDescent="0.25">
      <c r="A153" s="28">
        <v>1</v>
      </c>
      <c r="B153" s="5">
        <v>5</v>
      </c>
      <c r="C153" s="6">
        <v>847</v>
      </c>
      <c r="D153" s="6">
        <v>600</v>
      </c>
      <c r="E153" s="6">
        <v>254.0827301595281</v>
      </c>
      <c r="F153" s="6">
        <v>1.7000637740215621</v>
      </c>
      <c r="G153" s="6">
        <v>6.6909851486331318E-3</v>
      </c>
      <c r="H153" s="22">
        <f>F153+F154-F155-F156</f>
        <v>-2.117266632867687E-2</v>
      </c>
      <c r="I153" s="22">
        <f>-H153/(2*(G153+G154+G155+G156))</f>
        <v>0.21487320236832128</v>
      </c>
      <c r="J153" s="6">
        <f>E153+I153</f>
        <v>254.29760336189642</v>
      </c>
      <c r="K153" s="6">
        <f>10.67*((ABS(J153)/1000)^1.852)*C153/((100^1.852)*(D153/1000)^4.87)</f>
        <v>1.7027273784552872</v>
      </c>
      <c r="L153" s="6">
        <f>ABS(K153/J153)</f>
        <v>6.6958058430149616E-3</v>
      </c>
      <c r="M153" s="22">
        <f>K153+K154-K155-K156</f>
        <v>-1.2485637952032835E-2</v>
      </c>
      <c r="N153" s="22">
        <f>-M153/(2*(L153+L154+L155+L156))</f>
        <v>0.12668605105379963</v>
      </c>
      <c r="O153" s="6">
        <f>J153+N153</f>
        <v>254.42428941295023</v>
      </c>
      <c r="P153" s="6">
        <f>10.67*((ABS(O153)/1000)^1.852)*C153/((100^1.852)*(D153/1000)^4.87)</f>
        <v>1.7042986990015476</v>
      </c>
      <c r="Q153" s="6">
        <f>ABS(P153/O153)</f>
        <v>6.6986477703602403E-3</v>
      </c>
      <c r="R153" s="22">
        <f>P153+P154-P155-P156</f>
        <v>-1.4942076449749431E-2</v>
      </c>
      <c r="S153" s="22">
        <f>-R153/(2*(Q153+Q154+Q155+Q156))</f>
        <v>0.15163262387635057</v>
      </c>
      <c r="T153" s="6">
        <f>O153+S153</f>
        <v>254.57592203682657</v>
      </c>
      <c r="U153" s="6">
        <f>10.67*((ABS(T153)/1000)^1.852)*C153/((100^1.852)*(D153/1000)^4.87)</f>
        <v>1.706180315099741</v>
      </c>
      <c r="V153" s="6">
        <f>ABS(U153/T153)</f>
        <v>6.7020490447361617E-3</v>
      </c>
      <c r="W153" s="22">
        <f>U153+U154-U155-U156</f>
        <v>-9.964934001399417E-3</v>
      </c>
      <c r="X153" s="22">
        <f>-W153/(2*(V153+V154+V155+V156))</f>
        <v>0.10111355974384988</v>
      </c>
    </row>
    <row r="154" spans="1:24" x14ac:dyDescent="0.25">
      <c r="A154" s="28"/>
      <c r="B154" s="8">
        <v>9</v>
      </c>
      <c r="C154" s="9">
        <v>1121</v>
      </c>
      <c r="D154" s="9">
        <v>400</v>
      </c>
      <c r="E154" s="6">
        <v>77.125802338883517</v>
      </c>
      <c r="F154" s="6">
        <v>1.7816882235330687</v>
      </c>
      <c r="G154" s="6">
        <v>2.3101065655103312E-2</v>
      </c>
      <c r="H154" s="23"/>
      <c r="I154" s="23"/>
      <c r="J154" s="6">
        <f>E154+I153-I166</f>
        <v>77.187217790661919</v>
      </c>
      <c r="K154" s="6">
        <f t="shared" ref="K154:K178" si="86">10.67*((ABS(J154)/1000)^1.852)*C154/((100^1.852)*(D154/1000)^4.87)</f>
        <v>1.7843166627621441</v>
      </c>
      <c r="L154" s="6">
        <f>ABS(K154/J154)</f>
        <v>2.3116737639143278E-2</v>
      </c>
      <c r="M154" s="23"/>
      <c r="N154" s="23"/>
      <c r="O154" s="6">
        <f>J154+N153-N166</f>
        <v>77.119258734813641</v>
      </c>
      <c r="P154" s="6">
        <f t="shared" ref="P154:P178" si="87">10.67*((ABS(O154)/1000)^1.852)*C154/((100^1.852)*(D154/1000)^4.87)</f>
        <v>1.7814082775027831</v>
      </c>
      <c r="Q154" s="6">
        <f>ABS(P154/O154)</f>
        <v>2.3099395750527475E-2</v>
      </c>
      <c r="R154" s="23"/>
      <c r="S154" s="23"/>
      <c r="T154" s="6">
        <f>O154+S153-S166</f>
        <v>77.147202891369659</v>
      </c>
      <c r="U154" s="6">
        <f>10.67*((ABS(T154)/1000)^1.852)*C154/((100^1.852)*(D154/1000)^4.87)</f>
        <v>1.7826039153099089</v>
      </c>
      <c r="V154" s="6">
        <f>ABS(U154/T154)</f>
        <v>2.310652685386376E-2</v>
      </c>
      <c r="W154" s="23"/>
      <c r="X154" s="23"/>
    </row>
    <row r="155" spans="1:24" x14ac:dyDescent="0.25">
      <c r="A155" s="28"/>
      <c r="B155" s="3">
        <v>-6</v>
      </c>
      <c r="C155" s="4">
        <v>1075</v>
      </c>
      <c r="D155" s="4">
        <v>450</v>
      </c>
      <c r="E155" s="6">
        <v>-106.92018112776641</v>
      </c>
      <c r="F155" s="6">
        <v>1.7629763229379247</v>
      </c>
      <c r="G155" s="6">
        <v>1.6488714331967143E-2</v>
      </c>
      <c r="H155" s="23"/>
      <c r="I155" s="23"/>
      <c r="J155" s="6">
        <f>E155+I153-I157</f>
        <v>-106.84790428538913</v>
      </c>
      <c r="K155" s="6">
        <f t="shared" si="86"/>
        <v>1.7607698334606787</v>
      </c>
      <c r="L155" s="6">
        <f t="shared" ref="L155" si="88">ABS(K155/J155)</f>
        <v>1.6479217306477899E-2</v>
      </c>
      <c r="M155" s="23"/>
      <c r="N155" s="23"/>
      <c r="O155" s="6">
        <f>J155+N153-N157</f>
        <v>-106.9075214081298</v>
      </c>
      <c r="P155" s="6">
        <f t="shared" si="87"/>
        <v>1.7625897513265143</v>
      </c>
      <c r="Q155" s="6">
        <f t="shared" ref="Q155" si="89">ABS(P155/O155)</f>
        <v>1.6487050940014385E-2</v>
      </c>
      <c r="R155" s="23"/>
      <c r="S155" s="23"/>
      <c r="T155" s="6">
        <f>O155+S153-S157</f>
        <v>-106.87274990736158</v>
      </c>
      <c r="U155" s="6">
        <f t="shared" ref="U155:U178" si="90">10.67*((ABS(T155)/1000)^1.852)*C155/((100^1.852)*(D155/1000)^4.87)</f>
        <v>1.761528184793282</v>
      </c>
      <c r="V155" s="6">
        <f t="shared" ref="V155" si="91">ABS(U155/T155)</f>
        <v>1.6482482076302828E-2</v>
      </c>
      <c r="W155" s="23"/>
      <c r="X155" s="23"/>
    </row>
    <row r="156" spans="1:24" x14ac:dyDescent="0.25">
      <c r="A156" s="28"/>
      <c r="B156" s="5">
        <v>-2</v>
      </c>
      <c r="C156" s="6">
        <v>757</v>
      </c>
      <c r="D156" s="6">
        <v>800</v>
      </c>
      <c r="E156" s="6">
        <v>-582.49726984047186</v>
      </c>
      <c r="F156" s="6">
        <v>1.7399483409453831</v>
      </c>
      <c r="G156" s="6">
        <v>2.9870497786571629E-3</v>
      </c>
      <c r="H156" s="24"/>
      <c r="I156" s="24"/>
      <c r="J156" s="6">
        <f>E156+I153</f>
        <v>-582.28239663810359</v>
      </c>
      <c r="K156" s="6">
        <f t="shared" si="86"/>
        <v>1.7387598457087854</v>
      </c>
      <c r="L156" s="6">
        <f>ABS(K156/J156)</f>
        <v>2.9861109587852579E-3</v>
      </c>
      <c r="M156" s="24"/>
      <c r="N156" s="24"/>
      <c r="O156" s="6">
        <f>J156+N153</f>
        <v>-582.15571058704984</v>
      </c>
      <c r="P156" s="6">
        <f t="shared" si="87"/>
        <v>1.7380593016275658</v>
      </c>
      <c r="Q156" s="6">
        <f>ABS(P156/O156)</f>
        <v>2.9855574204964764E-3</v>
      </c>
      <c r="R156" s="24"/>
      <c r="S156" s="24"/>
      <c r="T156" s="6">
        <f>O156+S153</f>
        <v>-582.00407796317347</v>
      </c>
      <c r="U156" s="6">
        <f t="shared" si="90"/>
        <v>1.7372209796177673</v>
      </c>
      <c r="V156" s="6">
        <f>ABS(U156/T156)</f>
        <v>2.9848948579492439E-3</v>
      </c>
      <c r="W156" s="24"/>
      <c r="X156" s="24"/>
    </row>
    <row r="157" spans="1:24" x14ac:dyDescent="0.25">
      <c r="A157" s="28">
        <v>2</v>
      </c>
      <c r="B157" s="3">
        <v>6</v>
      </c>
      <c r="C157" s="4">
        <v>1075</v>
      </c>
      <c r="D157" s="4">
        <v>450</v>
      </c>
      <c r="E157" s="6">
        <v>106.9201811277664</v>
      </c>
      <c r="F157" s="6">
        <v>1.7629763229379234</v>
      </c>
      <c r="G157" s="6">
        <v>1.6488714331967132E-2</v>
      </c>
      <c r="H157" s="22">
        <f>F157+F158-F159-F160</f>
        <v>-2.7079070200405564E-2</v>
      </c>
      <c r="I157" s="22">
        <f>-H157/(2*(G157+G158+G159+G160))</f>
        <v>0.14259635999105272</v>
      </c>
      <c r="J157" s="6">
        <f>E157+I157-I153</f>
        <v>106.84790428538912</v>
      </c>
      <c r="K157" s="6">
        <f t="shared" si="86"/>
        <v>1.7607698334606772</v>
      </c>
      <c r="L157" s="6">
        <f t="shared" ref="L157:L163" si="92">ABS(K157/J157)</f>
        <v>1.6479217306477886E-2</v>
      </c>
      <c r="M157" s="22">
        <f>K157+K158-K159-K160</f>
        <v>-3.5332600877067133E-2</v>
      </c>
      <c r="N157" s="22">
        <f>-M157/(2*(L157+L158+L159+L160))</f>
        <v>0.18630317379445807</v>
      </c>
      <c r="O157" s="6">
        <f>J157+N157-N153</f>
        <v>106.90752140812978</v>
      </c>
      <c r="P157" s="6">
        <f t="shared" si="87"/>
        <v>1.7625897513265143</v>
      </c>
      <c r="Q157" s="6">
        <f t="shared" ref="Q157:Q163" si="93">ABS(P157/O157)</f>
        <v>1.6487050940014385E-2</v>
      </c>
      <c r="R157" s="22">
        <f>P157+P158-P159-P160</f>
        <v>-2.2179354779329863E-2</v>
      </c>
      <c r="S157" s="22">
        <f>-R157/(2*(Q157+Q158+Q159+Q160))</f>
        <v>0.11686112310813677</v>
      </c>
      <c r="T157" s="6">
        <f>O157+S157-S153</f>
        <v>106.87274990736157</v>
      </c>
      <c r="U157" s="6">
        <f t="shared" si="90"/>
        <v>1.761528184793282</v>
      </c>
      <c r="V157" s="6">
        <f t="shared" ref="V157:V163" si="94">ABS(U157/T157)</f>
        <v>1.6482482076302832E-2</v>
      </c>
      <c r="W157" s="22">
        <f>U157+U158-U159-U160</f>
        <v>-2.5211462744757274E-2</v>
      </c>
      <c r="X157" s="22">
        <f>-W157/(2*(V157+V158+V159+V160))</f>
        <v>0.13292789097952221</v>
      </c>
    </row>
    <row r="158" spans="1:24" x14ac:dyDescent="0.25">
      <c r="A158" s="28"/>
      <c r="B158" s="20">
        <v>10</v>
      </c>
      <c r="C158" s="21">
        <v>1300</v>
      </c>
      <c r="D158" s="21">
        <v>300</v>
      </c>
      <c r="E158" s="6">
        <v>40.269943533447723</v>
      </c>
      <c r="F158" s="6">
        <v>2.5173993253447282</v>
      </c>
      <c r="G158" s="6">
        <v>6.2513107902766415E-2</v>
      </c>
      <c r="H158" s="23"/>
      <c r="I158" s="23"/>
      <c r="J158" s="6">
        <f>E158+I157-I170</f>
        <v>40.187747755275453</v>
      </c>
      <c r="K158" s="6">
        <f t="shared" si="86"/>
        <v>2.507891443944009</v>
      </c>
      <c r="L158" s="6">
        <f t="shared" si="92"/>
        <v>6.240437904646691E-2</v>
      </c>
      <c r="M158" s="23"/>
      <c r="N158" s="23"/>
      <c r="O158" s="6">
        <f>J158+N157-N170</f>
        <v>40.242442514247095</v>
      </c>
      <c r="P158" s="6">
        <f t="shared" si="87"/>
        <v>2.5142163410645835</v>
      </c>
      <c r="Q158" s="6">
        <f t="shared" si="93"/>
        <v>6.2476733120124889E-2</v>
      </c>
      <c r="R158" s="23"/>
      <c r="S158" s="23"/>
      <c r="T158" s="6">
        <f>O158+S157-S170</f>
        <v>40.20079693778294</v>
      </c>
      <c r="U158" s="6">
        <f t="shared" si="90"/>
        <v>2.5093997845477674</v>
      </c>
      <c r="V158" s="6">
        <f t="shared" si="94"/>
        <v>6.2421642745825623E-2</v>
      </c>
      <c r="W158" s="23"/>
      <c r="X158" s="23"/>
    </row>
    <row r="159" spans="1:24" x14ac:dyDescent="0.25">
      <c r="A159" s="28"/>
      <c r="B159" s="12">
        <v>-7</v>
      </c>
      <c r="C159" s="13">
        <v>600</v>
      </c>
      <c r="D159" s="13">
        <v>500</v>
      </c>
      <c r="E159" s="6">
        <v>-174.08500765258935</v>
      </c>
      <c r="F159" s="6">
        <v>1.4528534453708009</v>
      </c>
      <c r="G159" s="6">
        <v>8.3456551770969868E-3</v>
      </c>
      <c r="H159" s="23"/>
      <c r="I159" s="23"/>
      <c r="J159" s="6">
        <f>E159+I157-I161</f>
        <v>-173.99095182419117</v>
      </c>
      <c r="K159" s="6">
        <f t="shared" si="86"/>
        <v>1.4514000386652171</v>
      </c>
      <c r="L159" s="6">
        <f t="shared" si="92"/>
        <v>8.3418133152796444E-3</v>
      </c>
      <c r="M159" s="23"/>
      <c r="N159" s="23"/>
      <c r="O159" s="6">
        <f>J159+N157-N161</f>
        <v>-173.83640581943817</v>
      </c>
      <c r="P159" s="6">
        <f t="shared" si="87"/>
        <v>1.4490133550057904</v>
      </c>
      <c r="Q159" s="6">
        <f t="shared" si="93"/>
        <v>8.3354999671982604E-3</v>
      </c>
      <c r="R159" s="23"/>
      <c r="S159" s="23"/>
      <c r="T159" s="6">
        <f>O159+S157-S161</f>
        <v>-173.75852423904229</v>
      </c>
      <c r="U159" s="6">
        <f t="shared" si="90"/>
        <v>1.4478112995741217</v>
      </c>
      <c r="V159" s="6">
        <f t="shared" si="94"/>
        <v>8.332318117425682E-3</v>
      </c>
      <c r="W159" s="23"/>
      <c r="X159" s="23"/>
    </row>
    <row r="160" spans="1:24" x14ac:dyDescent="0.25">
      <c r="A160" s="28"/>
      <c r="B160" s="5">
        <v>-3</v>
      </c>
      <c r="C160" s="6">
        <v>690</v>
      </c>
      <c r="D160" s="6">
        <v>600</v>
      </c>
      <c r="E160" s="6">
        <v>-375.47708871270555</v>
      </c>
      <c r="F160" s="6">
        <v>2.8546012731122565</v>
      </c>
      <c r="G160" s="6">
        <v>7.6025977587581665E-3</v>
      </c>
      <c r="H160" s="24"/>
      <c r="I160" s="24"/>
      <c r="J160" s="6">
        <f>E160+I157</f>
        <v>-375.33449235271451</v>
      </c>
      <c r="K160" s="6">
        <f t="shared" si="86"/>
        <v>2.8525938396165356</v>
      </c>
      <c r="L160" s="6">
        <f t="shared" si="92"/>
        <v>7.6001377377697991E-3</v>
      </c>
      <c r="M160" s="24"/>
      <c r="N160" s="24"/>
      <c r="O160" s="6">
        <f>J160+N157</f>
        <v>-375.14818917892006</v>
      </c>
      <c r="P160" s="6">
        <f t="shared" si="87"/>
        <v>2.8499720921646374</v>
      </c>
      <c r="Q160" s="6">
        <f t="shared" si="93"/>
        <v>7.5969234941592519E-3</v>
      </c>
      <c r="R160" s="24"/>
      <c r="S160" s="24"/>
      <c r="T160" s="6">
        <f>O160+S157</f>
        <v>-375.03132805581191</v>
      </c>
      <c r="U160" s="6">
        <f t="shared" si="90"/>
        <v>2.8483281325116852</v>
      </c>
      <c r="V160" s="6">
        <f t="shared" si="94"/>
        <v>7.594907196893692E-3</v>
      </c>
      <c r="W160" s="24"/>
      <c r="X160" s="24"/>
    </row>
    <row r="161" spans="1:24" x14ac:dyDescent="0.25">
      <c r="A161" s="28">
        <v>3</v>
      </c>
      <c r="B161" s="12">
        <v>7</v>
      </c>
      <c r="C161" s="13">
        <v>600</v>
      </c>
      <c r="D161" s="13">
        <v>500</v>
      </c>
      <c r="E161" s="6">
        <v>174.08500765258933</v>
      </c>
      <c r="F161" s="6">
        <v>1.4528534453708009</v>
      </c>
      <c r="G161" s="6">
        <v>8.3456551770969886E-3</v>
      </c>
      <c r="H161" s="22">
        <f>F161+F162+F163-F164-F165</f>
        <v>-2.4714044226189724E-2</v>
      </c>
      <c r="I161" s="22">
        <f>-H161/(2*(G161+G162+G163+G164+G165))</f>
        <v>4.854053159287286E-2</v>
      </c>
      <c r="J161" s="6">
        <f>E161+I161-I157</f>
        <v>173.99095182419114</v>
      </c>
      <c r="K161" s="6">
        <f t="shared" si="86"/>
        <v>1.4514000386652164</v>
      </c>
      <c r="L161" s="6">
        <f t="shared" si="92"/>
        <v>8.3418133152796427E-3</v>
      </c>
      <c r="M161" s="22">
        <f>K161+K162+K163-K164-K165</f>
        <v>-1.6186982703991326E-2</v>
      </c>
      <c r="N161" s="22">
        <f>-M161/(2*(L161+L162+L163+L164+L165))</f>
        <v>3.1757169041464396E-2</v>
      </c>
      <c r="O161" s="6">
        <f>J161+N161-N157</f>
        <v>173.83640581943814</v>
      </c>
      <c r="P161" s="6">
        <f t="shared" si="87"/>
        <v>1.4490133550057895</v>
      </c>
      <c r="Q161" s="6">
        <f t="shared" si="93"/>
        <v>8.3354999671982569E-3</v>
      </c>
      <c r="R161" s="22">
        <f>P161+P162+P163-P164-P165</f>
        <v>-1.985996646286381E-2</v>
      </c>
      <c r="S161" s="22">
        <f>-R161/(2*(Q161+Q162+Q163+Q164+Q165))</f>
        <v>3.8979542712242382E-2</v>
      </c>
      <c r="T161" s="6">
        <f>O161+S161-S157</f>
        <v>173.75852423904226</v>
      </c>
      <c r="U161" s="6">
        <f t="shared" si="90"/>
        <v>1.4478112995741215</v>
      </c>
      <c r="V161" s="6">
        <f t="shared" si="94"/>
        <v>8.332318117425682E-3</v>
      </c>
      <c r="W161" s="22">
        <f>U161+U162+U163-U164-U165</f>
        <v>-1.4452671847070331E-2</v>
      </c>
      <c r="X161" s="22">
        <f>-W161/(2*(V161+V162+V163+V164+V165))</f>
        <v>2.8347610903785632E-2</v>
      </c>
    </row>
    <row r="162" spans="1:24" x14ac:dyDescent="0.25">
      <c r="A162" s="28"/>
      <c r="B162" s="18">
        <v>14</v>
      </c>
      <c r="C162" s="19">
        <v>460</v>
      </c>
      <c r="D162" s="19">
        <v>500</v>
      </c>
      <c r="E162" s="6">
        <v>132.47495118603709</v>
      </c>
      <c r="F162" s="6">
        <v>0.67162997199814523</v>
      </c>
      <c r="G162" s="6">
        <v>5.0698638949106881E-3</v>
      </c>
      <c r="H162" s="23"/>
      <c r="I162" s="23"/>
      <c r="J162" s="6">
        <f>E162+I161-I170</f>
        <v>132.29869957946661</v>
      </c>
      <c r="K162" s="6">
        <f t="shared" si="86"/>
        <v>0.66997601530088569</v>
      </c>
      <c r="L162" s="6">
        <f t="shared" si="92"/>
        <v>5.0641164080260483E-3</v>
      </c>
      <c r="M162" s="23"/>
      <c r="N162" s="23"/>
      <c r="O162" s="6">
        <f>J162+N161-N170</f>
        <v>132.19884833368528</v>
      </c>
      <c r="P162" s="6">
        <f t="shared" si="87"/>
        <v>0.6690398371774755</v>
      </c>
      <c r="Q162" s="6">
        <f t="shared" si="93"/>
        <v>5.0608598002967551E-3</v>
      </c>
      <c r="R162" s="23"/>
      <c r="S162" s="23"/>
      <c r="T162" s="6">
        <f>O162+S161-S170</f>
        <v>132.07932117682523</v>
      </c>
      <c r="U162" s="6">
        <f t="shared" si="90"/>
        <v>0.6679199750370437</v>
      </c>
      <c r="V162" s="6">
        <f t="shared" si="94"/>
        <v>5.056960991969707E-3</v>
      </c>
      <c r="W162" s="23"/>
      <c r="X162" s="23"/>
    </row>
    <row r="163" spans="1:24" x14ac:dyDescent="0.25">
      <c r="A163" s="28"/>
      <c r="B163" s="16">
        <v>11</v>
      </c>
      <c r="C163" s="17">
        <v>1590</v>
      </c>
      <c r="D163" s="17">
        <v>200</v>
      </c>
      <c r="E163" s="6">
        <v>12.62797176639898</v>
      </c>
      <c r="F163" s="6">
        <v>2.5894963081772389</v>
      </c>
      <c r="G163" s="6">
        <v>0.20506034983919394</v>
      </c>
      <c r="H163" s="23"/>
      <c r="I163" s="23"/>
      <c r="J163" s="6">
        <f>E163+I161-I175</f>
        <v>12.650047737562428</v>
      </c>
      <c r="K163" s="6">
        <f t="shared" si="86"/>
        <v>2.5978863818824798</v>
      </c>
      <c r="L163" s="6">
        <f t="shared" si="92"/>
        <v>0.20536573740891459</v>
      </c>
      <c r="M163" s="23"/>
      <c r="N163" s="23"/>
      <c r="O163" s="6">
        <f>J163+N161-N175</f>
        <v>12.643546425745644</v>
      </c>
      <c r="P163" s="6">
        <f t="shared" si="87"/>
        <v>2.5954142315791504</v>
      </c>
      <c r="Q163" s="6">
        <f t="shared" si="93"/>
        <v>0.20527580982296173</v>
      </c>
      <c r="R163" s="23"/>
      <c r="S163" s="23"/>
      <c r="T163" s="6">
        <f>O163+S161-S175</f>
        <v>12.657021574088768</v>
      </c>
      <c r="U163" s="6">
        <f t="shared" si="90"/>
        <v>2.6005394152558221</v>
      </c>
      <c r="V163" s="6">
        <f t="shared" si="94"/>
        <v>0.20546219345786695</v>
      </c>
      <c r="W163" s="23"/>
      <c r="X163" s="23"/>
    </row>
    <row r="164" spans="1:24" x14ac:dyDescent="0.25">
      <c r="A164" s="28"/>
      <c r="B164" s="5">
        <v>-8</v>
      </c>
      <c r="C164" s="6">
        <v>284</v>
      </c>
      <c r="D164" s="6">
        <v>400</v>
      </c>
      <c r="E164" s="6">
        <v>-112.59208106011614</v>
      </c>
      <c r="F164" s="6">
        <v>0.90958467196558757</v>
      </c>
      <c r="G164" s="6">
        <v>8.0785847761347812E-3</v>
      </c>
      <c r="H164" s="23"/>
      <c r="I164" s="23"/>
      <c r="J164" s="6">
        <f>E164+I161</f>
        <v>-112.54354052852327</v>
      </c>
      <c r="K164" s="6">
        <f t="shared" si="86"/>
        <v>0.90885856429053891</v>
      </c>
      <c r="L164" s="6">
        <f>ABS(K164/J164)</f>
        <v>8.0756173123964943E-3</v>
      </c>
      <c r="M164" s="23"/>
      <c r="N164" s="23"/>
      <c r="O164" s="6">
        <f>J164+N161</f>
        <v>-112.5117833594818</v>
      </c>
      <c r="P164" s="6">
        <f t="shared" si="87"/>
        <v>0.90838365979109914</v>
      </c>
      <c r="Q164" s="6">
        <f>ABS(P164/O164)</f>
        <v>8.0736757757075076E-3</v>
      </c>
      <c r="R164" s="23"/>
      <c r="S164" s="23"/>
      <c r="T164" s="6">
        <f>O164+S161</f>
        <v>-112.47280381676956</v>
      </c>
      <c r="U164" s="6">
        <f t="shared" si="90"/>
        <v>0.90780090624475185</v>
      </c>
      <c r="V164" s="6">
        <f>ABS(U164/T164)</f>
        <v>8.0712925741911658E-3</v>
      </c>
      <c r="W164" s="23"/>
      <c r="X164" s="23"/>
    </row>
    <row r="165" spans="1:24" x14ac:dyDescent="0.25">
      <c r="A165" s="28"/>
      <c r="B165" s="5">
        <v>-4</v>
      </c>
      <c r="C165" s="6">
        <v>835</v>
      </c>
      <c r="D165" s="5">
        <v>400</v>
      </c>
      <c r="E165" s="6">
        <v>-136.6720810601162</v>
      </c>
      <c r="F165" s="6">
        <v>3.829109097806787</v>
      </c>
      <c r="G165" s="6">
        <v>2.8016761492952798E-2</v>
      </c>
      <c r="H165" s="24"/>
      <c r="I165" s="24"/>
      <c r="J165" s="6">
        <f>E165+I161</f>
        <v>-136.62354052852334</v>
      </c>
      <c r="K165" s="6">
        <f t="shared" si="86"/>
        <v>3.8265908542620339</v>
      </c>
      <c r="L165" s="6">
        <f t="shared" ref="L165" si="95">ABS(K165/J165)</f>
        <v>2.8008283488035829E-2</v>
      </c>
      <c r="M165" s="24"/>
      <c r="N165" s="24"/>
      <c r="O165" s="6">
        <f>J165+N161</f>
        <v>-136.59178335948187</v>
      </c>
      <c r="P165" s="6">
        <f t="shared" si="87"/>
        <v>3.8249437304341796</v>
      </c>
      <c r="Q165" s="6">
        <f t="shared" ref="Q165" si="96">ABS(P165/O165)</f>
        <v>2.8002736594833846E-2</v>
      </c>
      <c r="R165" s="24"/>
      <c r="S165" s="24"/>
      <c r="T165" s="6">
        <f>O165+S161</f>
        <v>-136.55280381676963</v>
      </c>
      <c r="U165" s="6">
        <f t="shared" si="90"/>
        <v>3.8229224554693055</v>
      </c>
      <c r="V165" s="6">
        <f t="shared" ref="V165" si="97">ABS(U165/T165)</f>
        <v>2.799592793860908E-2</v>
      </c>
      <c r="W165" s="24"/>
      <c r="X165" s="24"/>
    </row>
    <row r="166" spans="1:24" x14ac:dyDescent="0.25">
      <c r="A166" s="28">
        <v>4</v>
      </c>
      <c r="B166" s="5">
        <v>12</v>
      </c>
      <c r="C166" s="6">
        <v>385</v>
      </c>
      <c r="D166" s="5">
        <v>400</v>
      </c>
      <c r="E166" s="6">
        <v>105.29692782064451</v>
      </c>
      <c r="F166" s="6">
        <v>1.0891980822833418</v>
      </c>
      <c r="G166" s="6">
        <v>1.034406325831848E-2</v>
      </c>
      <c r="H166" s="22">
        <f>F166+F167-F168-F169</f>
        <v>-0.1089273710169969</v>
      </c>
      <c r="I166" s="22">
        <f>-H166/(2*(G166+G167+G168+G169))</f>
        <v>0.15345775058991962</v>
      </c>
      <c r="J166" s="6">
        <f>E166+I166</f>
        <v>105.45038557123443</v>
      </c>
      <c r="K166" s="6">
        <f t="shared" si="86"/>
        <v>1.0921397289343655</v>
      </c>
      <c r="L166" s="6">
        <f>ABS(K166/J166)</f>
        <v>1.0356905980173938E-2</v>
      </c>
      <c r="M166" s="22">
        <f>K166+K167-K168-K169</f>
        <v>-0.13930120943911461</v>
      </c>
      <c r="N166" s="22">
        <f>-M166/(2*(L166+L167+L168+L169))</f>
        <v>0.19464510690206541</v>
      </c>
      <c r="O166" s="6">
        <f>J166+N166</f>
        <v>105.64503067813651</v>
      </c>
      <c r="P166" s="6">
        <f t="shared" si="87"/>
        <v>1.0958761502443333</v>
      </c>
      <c r="Q166" s="6">
        <f>ABS(P166/O166)</f>
        <v>1.0373191651418845E-2</v>
      </c>
      <c r="R166" s="22">
        <f>P166+P167-P168-P169</f>
        <v>-8.7910563135860986E-2</v>
      </c>
      <c r="S166" s="22">
        <f>-R166/(2*(Q166+Q167+Q168+Q169))</f>
        <v>0.12368846732034124</v>
      </c>
      <c r="T166" s="6">
        <f>O166+S166</f>
        <v>105.76871914545684</v>
      </c>
      <c r="U166" s="6">
        <f t="shared" si="90"/>
        <v>1.0982535331382226</v>
      </c>
      <c r="V166" s="6">
        <f>ABS(U166/T166)</f>
        <v>1.0383538176612179E-2</v>
      </c>
      <c r="W166" s="22">
        <f>U166+U167-U168-U169</f>
        <v>-9.9060637860155731E-2</v>
      </c>
      <c r="X166" s="22">
        <f>-W166/(2*(V166+V167+V168+V169))</f>
        <v>0.13881187756304472</v>
      </c>
    </row>
    <row r="167" spans="1:24" x14ac:dyDescent="0.25">
      <c r="A167" s="28"/>
      <c r="B167" s="5">
        <v>17</v>
      </c>
      <c r="C167" s="6">
        <v>320</v>
      </c>
      <c r="D167" s="5">
        <v>300</v>
      </c>
      <c r="E167" s="6">
        <v>83.826927820644514</v>
      </c>
      <c r="F167" s="6">
        <v>2.4090189804738649</v>
      </c>
      <c r="G167" s="6">
        <v>2.8738008693676386E-2</v>
      </c>
      <c r="H167" s="23"/>
      <c r="I167" s="23"/>
      <c r="J167" s="6">
        <f>E167+I166</f>
        <v>83.980385571234436</v>
      </c>
      <c r="K167" s="6">
        <f t="shared" si="86"/>
        <v>2.4171927992964046</v>
      </c>
      <c r="L167" s="6">
        <f t="shared" ref="L167" si="98">ABS(K167/J167)</f>
        <v>2.878282569024497E-2</v>
      </c>
      <c r="M167" s="23"/>
      <c r="N167" s="23"/>
      <c r="O167" s="6">
        <f>J167+N166</f>
        <v>84.175030678136508</v>
      </c>
      <c r="P167" s="6">
        <f t="shared" si="87"/>
        <v>2.4275787544931484</v>
      </c>
      <c r="Q167" s="6">
        <f t="shared" ref="Q167" si="99">ABS(P167/O167)</f>
        <v>2.8839653932240073E-2</v>
      </c>
      <c r="R167" s="23"/>
      <c r="S167" s="23"/>
      <c r="T167" s="6">
        <f>O167+S166</f>
        <v>84.298719145456843</v>
      </c>
      <c r="U167" s="6">
        <f t="shared" si="90"/>
        <v>2.434189219138795</v>
      </c>
      <c r="V167" s="6">
        <f t="shared" ref="V167" si="100">ABS(U167/T167)</f>
        <v>2.8875755691360135E-2</v>
      </c>
      <c r="W167" s="23"/>
      <c r="X167" s="23"/>
    </row>
    <row r="168" spans="1:24" x14ac:dyDescent="0.25">
      <c r="A168" s="28"/>
      <c r="B168" s="10">
        <v>-13</v>
      </c>
      <c r="C168" s="11">
        <v>1020</v>
      </c>
      <c r="D168" s="10">
        <v>150</v>
      </c>
      <c r="E168" s="6">
        <v>-6.2360399332022149</v>
      </c>
      <c r="F168" s="6">
        <v>1.825456210241134</v>
      </c>
      <c r="G168" s="6">
        <v>0.29272683141779687</v>
      </c>
      <c r="H168" s="23"/>
      <c r="I168" s="23"/>
      <c r="J168" s="6">
        <f>E168+I166-I170</f>
        <v>-6.3073743207756197</v>
      </c>
      <c r="K168" s="6">
        <f t="shared" si="86"/>
        <v>1.8643170749077387</v>
      </c>
      <c r="L168" s="6">
        <f>ABS(K168/J168)</f>
        <v>0.29557736390671085</v>
      </c>
      <c r="M168" s="23"/>
      <c r="N168" s="23"/>
      <c r="O168" s="6">
        <f>J168+N166-N170</f>
        <v>-6.2443376286963677</v>
      </c>
      <c r="P168" s="6">
        <f t="shared" si="87"/>
        <v>1.8299571903705578</v>
      </c>
      <c r="Q168" s="6">
        <f>ABS(P168/O168)</f>
        <v>0.29305865556673921</v>
      </c>
      <c r="R168" s="23"/>
      <c r="S168" s="23"/>
      <c r="T168" s="6">
        <f>O168+S166-S170</f>
        <v>-6.2791558609483182</v>
      </c>
      <c r="U168" s="6">
        <f t="shared" si="90"/>
        <v>1.8488994748272645</v>
      </c>
      <c r="V168" s="6">
        <f>ABS(U168/T168)</f>
        <v>0.29445032354206158</v>
      </c>
      <c r="W168" s="23"/>
      <c r="X168" s="23"/>
    </row>
    <row r="169" spans="1:24" x14ac:dyDescent="0.25">
      <c r="A169" s="28"/>
      <c r="B169" s="8">
        <v>-9</v>
      </c>
      <c r="C169" s="9">
        <v>1121</v>
      </c>
      <c r="D169" s="8">
        <v>400</v>
      </c>
      <c r="E169" s="6">
        <v>-77.125802338883545</v>
      </c>
      <c r="F169" s="6">
        <v>1.7816882235330698</v>
      </c>
      <c r="G169" s="6">
        <v>2.3101065655103316E-2</v>
      </c>
      <c r="H169" s="24"/>
      <c r="I169" s="24"/>
      <c r="J169" s="6">
        <f>E169+I166-I153</f>
        <v>-77.187217790661947</v>
      </c>
      <c r="K169" s="6">
        <f t="shared" si="86"/>
        <v>1.7843166627621458</v>
      </c>
      <c r="L169" s="6">
        <f t="shared" ref="L169:L178" si="101">ABS(K169/J169)</f>
        <v>2.3116737639143292E-2</v>
      </c>
      <c r="M169" s="24"/>
      <c r="N169" s="24"/>
      <c r="O169" s="6">
        <f>J169+N166-N153</f>
        <v>-77.11925873481367</v>
      </c>
      <c r="P169" s="6">
        <f t="shared" si="87"/>
        <v>1.7814082775027846</v>
      </c>
      <c r="Q169" s="6">
        <f t="shared" ref="Q169:Q178" si="102">ABS(P169/O169)</f>
        <v>2.3099395750527486E-2</v>
      </c>
      <c r="R169" s="24"/>
      <c r="S169" s="24"/>
      <c r="T169" s="6">
        <f>O169+S166-S153</f>
        <v>-77.147202891369687</v>
      </c>
      <c r="U169" s="6">
        <f t="shared" si="90"/>
        <v>1.7826039153099089</v>
      </c>
      <c r="V169" s="6">
        <f t="shared" ref="V169:V178" si="103">ABS(U169/T169)</f>
        <v>2.3106526853863753E-2</v>
      </c>
      <c r="W169" s="24"/>
      <c r="X169" s="24"/>
    </row>
    <row r="170" spans="1:24" x14ac:dyDescent="0.25">
      <c r="A170" s="29">
        <v>5</v>
      </c>
      <c r="B170" s="10">
        <v>13</v>
      </c>
      <c r="C170" s="11">
        <v>1020</v>
      </c>
      <c r="D170" s="10">
        <v>150</v>
      </c>
      <c r="E170" s="6">
        <v>6.2360399332022212</v>
      </c>
      <c r="F170" s="6">
        <v>1.8254562102411374</v>
      </c>
      <c r="G170" s="6">
        <v>0.2927268314177971</v>
      </c>
      <c r="H170" s="22">
        <f>F170+F171-F172-F173-F174</f>
        <v>-0.19719836612390962</v>
      </c>
      <c r="I170" s="22">
        <f>-H170/(2*(G170+G171+G172+G173+G174))</f>
        <v>0.22479213816332394</v>
      </c>
      <c r="J170" s="6">
        <f>E170+I170-I166</f>
        <v>6.3073743207756259</v>
      </c>
      <c r="K170" s="6">
        <f t="shared" si="86"/>
        <v>1.8643170749077418</v>
      </c>
      <c r="L170" s="6">
        <f t="shared" si="101"/>
        <v>0.29557736390671108</v>
      </c>
      <c r="M170" s="22">
        <f>K170+K171-K172-K173-K174</f>
        <v>-0.11618076016732015</v>
      </c>
      <c r="N170" s="22">
        <f>-M170/(2*(L170+L171+L172+L173+L174))</f>
        <v>0.13160841482281332</v>
      </c>
      <c r="O170" s="6">
        <f>J170+N170-N166</f>
        <v>6.2443376286963739</v>
      </c>
      <c r="P170" s="6">
        <f t="shared" si="87"/>
        <v>1.8299571903705578</v>
      </c>
      <c r="Q170" s="6">
        <f t="shared" si="102"/>
        <v>0.29305865556673893</v>
      </c>
      <c r="R170" s="22">
        <f>P170+P171-P172-P173-P174</f>
        <v>-0.13915862811304835</v>
      </c>
      <c r="S170" s="22">
        <f>-R170/(2*(Q170+Q171+Q172+Q173+Q174))</f>
        <v>0.15850669957229147</v>
      </c>
      <c r="T170" s="6">
        <f>O170+S170-S166</f>
        <v>6.2791558609483245</v>
      </c>
      <c r="U170" s="6">
        <f t="shared" si="90"/>
        <v>1.8488994748272674</v>
      </c>
      <c r="V170" s="6">
        <f t="shared" si="103"/>
        <v>0.29445032354206174</v>
      </c>
      <c r="W170" s="22">
        <f>U170+U171-U172-U173-U174</f>
        <v>-9.2819012738669215E-2</v>
      </c>
      <c r="X170" s="22">
        <f>-W170/(2*(V170+V171+V172+V173+V174))</f>
        <v>0.10539856016852933</v>
      </c>
    </row>
    <row r="171" spans="1:24" x14ac:dyDescent="0.25">
      <c r="A171" s="30"/>
      <c r="B171" s="5">
        <v>18</v>
      </c>
      <c r="C171" s="6">
        <v>651</v>
      </c>
      <c r="D171" s="5">
        <v>300</v>
      </c>
      <c r="E171" s="6">
        <v>62.172967753846727</v>
      </c>
      <c r="F171" s="6">
        <v>2.8178317467727578</v>
      </c>
      <c r="G171" s="6">
        <v>4.5322458434492452E-2</v>
      </c>
      <c r="H171" s="23"/>
      <c r="I171" s="23"/>
      <c r="J171" s="6">
        <f>E171+I170</f>
        <v>62.39775989201005</v>
      </c>
      <c r="K171" s="6">
        <f t="shared" si="86"/>
        <v>2.8367292246300737</v>
      </c>
      <c r="L171" s="6">
        <f t="shared" si="101"/>
        <v>4.5462036290077029E-2</v>
      </c>
      <c r="M171" s="23"/>
      <c r="N171" s="23"/>
      <c r="O171" s="6">
        <f>J171+N170</f>
        <v>62.529368306832865</v>
      </c>
      <c r="P171" s="6">
        <f t="shared" si="87"/>
        <v>2.8478200413453063</v>
      </c>
      <c r="Q171" s="6">
        <f t="shared" si="102"/>
        <v>4.5543719990437076E-2</v>
      </c>
      <c r="R171" s="23"/>
      <c r="S171" s="23"/>
      <c r="T171" s="6">
        <f>O171+S170</f>
        <v>62.687875006405157</v>
      </c>
      <c r="U171" s="6">
        <f t="shared" si="90"/>
        <v>2.8612040367263369</v>
      </c>
      <c r="V171" s="6">
        <f t="shared" si="103"/>
        <v>4.5642064536945817E-2</v>
      </c>
      <c r="W171" s="23"/>
      <c r="X171" s="23"/>
    </row>
    <row r="172" spans="1:24" x14ac:dyDescent="0.25">
      <c r="A172" s="30"/>
      <c r="B172" s="14">
        <f>-15</f>
        <v>-15</v>
      </c>
      <c r="C172" s="15">
        <v>570</v>
      </c>
      <c r="D172" s="14">
        <v>300</v>
      </c>
      <c r="E172" s="6">
        <v>-50.056979419638111</v>
      </c>
      <c r="F172" s="6">
        <v>1.6514570257949328</v>
      </c>
      <c r="G172" s="6">
        <v>3.2991543735598261E-2</v>
      </c>
      <c r="H172" s="23"/>
      <c r="I172" s="23"/>
      <c r="J172" s="6">
        <f>E172+I170-I175</f>
        <v>-49.858651841904212</v>
      </c>
      <c r="K172" s="6">
        <f t="shared" si="86"/>
        <v>1.6393596004602413</v>
      </c>
      <c r="L172" s="6">
        <f t="shared" si="101"/>
        <v>3.2880142962117255E-2</v>
      </c>
      <c r="M172" s="23"/>
      <c r="N172" s="23"/>
      <c r="O172" s="6">
        <f>J172+N170-N175</f>
        <v>-49.765301907939644</v>
      </c>
      <c r="P172" s="6">
        <f t="shared" si="87"/>
        <v>1.6336796815868537</v>
      </c>
      <c r="Q172" s="6">
        <f t="shared" si="102"/>
        <v>3.2827685534973387E-2</v>
      </c>
      <c r="R172" s="23"/>
      <c r="S172" s="23"/>
      <c r="T172" s="6">
        <f>O172+S170-S175</f>
        <v>-49.632299602736474</v>
      </c>
      <c r="U172" s="6">
        <f t="shared" si="90"/>
        <v>1.6256027647074653</v>
      </c>
      <c r="V172" s="6">
        <f t="shared" si="103"/>
        <v>3.2752920531972242E-2</v>
      </c>
      <c r="W172" s="23"/>
      <c r="X172" s="23"/>
    </row>
    <row r="173" spans="1:24" x14ac:dyDescent="0.25">
      <c r="A173" s="30"/>
      <c r="B173" s="18">
        <v>-14</v>
      </c>
      <c r="C173" s="19">
        <v>460</v>
      </c>
      <c r="D173" s="18">
        <v>500</v>
      </c>
      <c r="E173" s="6">
        <v>-132.47495118603709</v>
      </c>
      <c r="F173" s="6">
        <v>0.67162997199814523</v>
      </c>
      <c r="G173" s="6">
        <v>5.0698638949106881E-3</v>
      </c>
      <c r="H173" s="23"/>
      <c r="I173" s="23"/>
      <c r="J173" s="6">
        <f>E173+I170-I161</f>
        <v>-132.29869957946661</v>
      </c>
      <c r="K173" s="6">
        <f t="shared" si="86"/>
        <v>0.66997601530088569</v>
      </c>
      <c r="L173" s="6">
        <f t="shared" si="101"/>
        <v>5.0641164080260483E-3</v>
      </c>
      <c r="M173" s="23"/>
      <c r="N173" s="23"/>
      <c r="O173" s="6">
        <f>J173+N170-N161</f>
        <v>-132.19884833368528</v>
      </c>
      <c r="P173" s="6">
        <f t="shared" si="87"/>
        <v>0.6690398371774755</v>
      </c>
      <c r="Q173" s="6">
        <f t="shared" si="102"/>
        <v>5.0608598002967551E-3</v>
      </c>
      <c r="R173" s="23"/>
      <c r="S173" s="23"/>
      <c r="T173" s="6">
        <f>O173+S170-S161</f>
        <v>-132.07932117682523</v>
      </c>
      <c r="U173" s="6">
        <f t="shared" si="90"/>
        <v>0.6679199750370437</v>
      </c>
      <c r="V173" s="6">
        <f t="shared" si="103"/>
        <v>5.056960991969707E-3</v>
      </c>
      <c r="W173" s="23"/>
      <c r="X173" s="23"/>
    </row>
    <row r="174" spans="1:24" x14ac:dyDescent="0.25">
      <c r="A174" s="31"/>
      <c r="B174" s="20">
        <v>-10</v>
      </c>
      <c r="C174" s="21">
        <v>1300</v>
      </c>
      <c r="D174" s="20">
        <v>300</v>
      </c>
      <c r="E174" s="6">
        <v>-40.269943533447716</v>
      </c>
      <c r="F174" s="6">
        <v>2.517399325344726</v>
      </c>
      <c r="G174" s="6">
        <v>6.2513107902766374E-2</v>
      </c>
      <c r="H174" s="24"/>
      <c r="I174" s="24"/>
      <c r="J174" s="6">
        <f>E174+I170-I157</f>
        <v>-40.187747755275446</v>
      </c>
      <c r="K174" s="6">
        <f t="shared" si="86"/>
        <v>2.507891443944009</v>
      </c>
      <c r="L174" s="6">
        <f t="shared" si="101"/>
        <v>6.2404379046466917E-2</v>
      </c>
      <c r="M174" s="24"/>
      <c r="N174" s="24"/>
      <c r="O174" s="6">
        <f>J174+N170-N157</f>
        <v>-40.242442514247088</v>
      </c>
      <c r="P174" s="6">
        <f t="shared" si="87"/>
        <v>2.5142163410645835</v>
      </c>
      <c r="Q174" s="6">
        <f t="shared" si="102"/>
        <v>6.2476733120124903E-2</v>
      </c>
      <c r="R174" s="24"/>
      <c r="S174" s="24"/>
      <c r="T174" s="6">
        <f>O174+S170-S157</f>
        <v>-40.200796937782933</v>
      </c>
      <c r="U174" s="6">
        <f t="shared" si="90"/>
        <v>2.5093997845477647</v>
      </c>
      <c r="V174" s="6">
        <f t="shared" si="103"/>
        <v>6.2421642745825567E-2</v>
      </c>
      <c r="W174" s="24"/>
      <c r="X174" s="24"/>
    </row>
    <row r="175" spans="1:24" x14ac:dyDescent="0.25">
      <c r="A175" s="28">
        <v>6</v>
      </c>
      <c r="B175" s="14">
        <v>15</v>
      </c>
      <c r="C175" s="15">
        <v>570</v>
      </c>
      <c r="D175" s="14">
        <v>300</v>
      </c>
      <c r="E175" s="6">
        <v>50.056979419638125</v>
      </c>
      <c r="F175" s="6">
        <v>1.6514570257949344</v>
      </c>
      <c r="G175" s="6">
        <v>3.2991543735598282E-2</v>
      </c>
      <c r="H175" s="22">
        <f>F175+F176-F177-F178</f>
        <v>-2.3423394164892919E-2</v>
      </c>
      <c r="I175" s="22">
        <f>-H175/(2*(G175+G176+G177+G178))</f>
        <v>2.6464560429424508E-2</v>
      </c>
      <c r="J175" s="6">
        <f>E175+I175-I170</f>
        <v>49.858651841904226</v>
      </c>
      <c r="K175" s="6">
        <f t="shared" si="86"/>
        <v>1.6393596004602429</v>
      </c>
      <c r="L175" s="6">
        <f t="shared" si="101"/>
        <v>3.2880142962117276E-2</v>
      </c>
      <c r="M175" s="22">
        <f>K175+K176-K177-K178</f>
        <v>-3.3885538229516676E-2</v>
      </c>
      <c r="N175" s="22">
        <f>-M175/(2*(L175+L176+L177+L178))</f>
        <v>3.8258480858247457E-2</v>
      </c>
      <c r="O175" s="6">
        <f>J175+N175-N170</f>
        <v>49.765301907939659</v>
      </c>
      <c r="P175" s="6">
        <f t="shared" si="87"/>
        <v>1.6336796815868537</v>
      </c>
      <c r="Q175" s="6">
        <f t="shared" si="102"/>
        <v>3.282768553497338E-2</v>
      </c>
      <c r="R175" s="22">
        <f>P175+P176-P177-P178</f>
        <v>-2.2590336288788926E-2</v>
      </c>
      <c r="S175" s="22">
        <f>-R175/(2*(Q175+Q176+Q177+Q178))</f>
        <v>2.5504394369119134E-2</v>
      </c>
      <c r="T175" s="6">
        <f>O175+S175-S170</f>
        <v>49.632299602736488</v>
      </c>
      <c r="U175" s="6">
        <f t="shared" si="90"/>
        <v>1.6256027647074653</v>
      </c>
      <c r="V175" s="6">
        <f t="shared" si="103"/>
        <v>3.2752920531972235E-2</v>
      </c>
      <c r="W175" s="22">
        <f>U175+U176-U177-U178</f>
        <v>-2.6117820920433132E-2</v>
      </c>
      <c r="X175" s="22">
        <f>-W175/(2*(V175+V176+V177+V178))</f>
        <v>2.9472217935633323E-2</v>
      </c>
    </row>
    <row r="176" spans="1:24" x14ac:dyDescent="0.25">
      <c r="A176" s="28"/>
      <c r="B176" s="5">
        <v>19</v>
      </c>
      <c r="C176" s="6">
        <v>791</v>
      </c>
      <c r="D176" s="5">
        <v>200</v>
      </c>
      <c r="E176" s="6">
        <v>18.199947173484848</v>
      </c>
      <c r="F176" s="6">
        <v>2.534980949971255</v>
      </c>
      <c r="G176" s="6">
        <v>0.13928507186352826</v>
      </c>
      <c r="H176" s="23"/>
      <c r="I176" s="23"/>
      <c r="J176" s="6">
        <f>E176+I175</f>
        <v>18.226411733914272</v>
      </c>
      <c r="K176" s="6">
        <f t="shared" si="86"/>
        <v>2.5418118693499663</v>
      </c>
      <c r="L176" s="6">
        <f t="shared" si="101"/>
        <v>0.13945761274669127</v>
      </c>
      <c r="M176" s="23"/>
      <c r="N176" s="23"/>
      <c r="O176" s="6">
        <f>J176+N175</f>
        <v>18.264670214772519</v>
      </c>
      <c r="P176" s="6">
        <f t="shared" si="87"/>
        <v>2.5517019324871475</v>
      </c>
      <c r="Q176" s="6">
        <f t="shared" si="102"/>
        <v>0.13970698088067987</v>
      </c>
      <c r="R176" s="23"/>
      <c r="S176" s="23"/>
      <c r="T176" s="6">
        <f>O176+S175</f>
        <v>18.290174609141637</v>
      </c>
      <c r="U176" s="6">
        <f t="shared" si="90"/>
        <v>2.5583047965100461</v>
      </c>
      <c r="V176" s="6">
        <f t="shared" si="103"/>
        <v>0.13987317514352085</v>
      </c>
      <c r="W176" s="23"/>
      <c r="X176" s="23"/>
    </row>
    <row r="177" spans="1:24" x14ac:dyDescent="0.25">
      <c r="A177" s="28"/>
      <c r="B177" s="5">
        <v>-16</v>
      </c>
      <c r="C177" s="6">
        <v>284</v>
      </c>
      <c r="D177" s="5">
        <v>200</v>
      </c>
      <c r="E177" s="6">
        <v>-24.850052826515149</v>
      </c>
      <c r="F177" s="6">
        <v>1.6203650617538436</v>
      </c>
      <c r="G177" s="6">
        <v>6.5205698879839194E-2</v>
      </c>
      <c r="H177" s="23"/>
      <c r="I177" s="23"/>
      <c r="J177" s="6">
        <f>E177+I175</f>
        <v>-24.823588266085725</v>
      </c>
      <c r="K177" s="6">
        <f t="shared" si="86"/>
        <v>1.6171706261572463</v>
      </c>
      <c r="L177" s="6">
        <f t="shared" si="101"/>
        <v>6.5146529535645079E-2</v>
      </c>
      <c r="M177" s="23"/>
      <c r="N177" s="23"/>
      <c r="O177" s="6">
        <f>J177+N175</f>
        <v>-24.785329785227479</v>
      </c>
      <c r="P177" s="6">
        <f t="shared" si="87"/>
        <v>1.6125577187836393</v>
      </c>
      <c r="Q177" s="6">
        <f t="shared" si="102"/>
        <v>6.5060974889458764E-2</v>
      </c>
      <c r="R177" s="23"/>
      <c r="S177" s="23"/>
      <c r="T177" s="6">
        <f>O177+S175</f>
        <v>-24.75982539085836</v>
      </c>
      <c r="U177" s="6">
        <f t="shared" si="90"/>
        <v>1.609485966882122</v>
      </c>
      <c r="V177" s="6">
        <f t="shared" si="103"/>
        <v>6.500393041852244E-2</v>
      </c>
      <c r="W177" s="23"/>
      <c r="X177" s="23"/>
    </row>
    <row r="178" spans="1:24" x14ac:dyDescent="0.25">
      <c r="A178" s="28"/>
      <c r="B178" s="16">
        <v>-11</v>
      </c>
      <c r="C178" s="17">
        <v>1590</v>
      </c>
      <c r="D178" s="16">
        <v>200</v>
      </c>
      <c r="E178" s="6">
        <v>-12.627971766398984</v>
      </c>
      <c r="F178" s="6">
        <v>2.5894963081772389</v>
      </c>
      <c r="G178" s="6">
        <v>0.20506034983919388</v>
      </c>
      <c r="H178" s="24"/>
      <c r="I178" s="24"/>
      <c r="J178" s="6">
        <f>E178+I175-I161</f>
        <v>-12.650047737562431</v>
      </c>
      <c r="K178" s="6">
        <f t="shared" si="86"/>
        <v>2.5978863818824798</v>
      </c>
      <c r="L178" s="6">
        <f t="shared" si="101"/>
        <v>0.20536573740891453</v>
      </c>
      <c r="M178" s="24"/>
      <c r="N178" s="24"/>
      <c r="O178" s="6">
        <f>J178+N175-N161</f>
        <v>-12.643546425745647</v>
      </c>
      <c r="P178" s="6">
        <f t="shared" si="87"/>
        <v>2.5954142315791504</v>
      </c>
      <c r="Q178" s="6">
        <f t="shared" si="102"/>
        <v>0.20527580982296167</v>
      </c>
      <c r="R178" s="24"/>
      <c r="S178" s="24"/>
      <c r="T178" s="6">
        <f>O178+S175-S161</f>
        <v>-12.657021574088771</v>
      </c>
      <c r="U178" s="6">
        <f t="shared" si="90"/>
        <v>2.6005394152558221</v>
      </c>
      <c r="V178" s="6">
        <f t="shared" si="103"/>
        <v>0.2054621934578669</v>
      </c>
      <c r="W178" s="24"/>
      <c r="X178" s="24"/>
    </row>
    <row r="181" spans="1:24" x14ac:dyDescent="0.25">
      <c r="A181" s="32" t="s">
        <v>0</v>
      </c>
      <c r="B181" s="33" t="s">
        <v>1</v>
      </c>
      <c r="C181" s="34" t="s">
        <v>2</v>
      </c>
      <c r="D181" s="34" t="s">
        <v>3</v>
      </c>
      <c r="E181" s="25" t="s">
        <v>30</v>
      </c>
      <c r="F181" s="25"/>
      <c r="G181" s="25"/>
      <c r="H181" s="26" t="s">
        <v>5</v>
      </c>
      <c r="I181" s="26" t="s">
        <v>6</v>
      </c>
      <c r="J181" s="25" t="s">
        <v>31</v>
      </c>
      <c r="K181" s="25"/>
      <c r="L181" s="25"/>
      <c r="M181" s="26" t="s">
        <v>5</v>
      </c>
      <c r="N181" s="26" t="s">
        <v>6</v>
      </c>
      <c r="O181" s="25" t="s">
        <v>32</v>
      </c>
      <c r="P181" s="25"/>
      <c r="Q181" s="25"/>
      <c r="R181" s="26" t="s">
        <v>5</v>
      </c>
      <c r="S181" s="26" t="s">
        <v>6</v>
      </c>
      <c r="T181" s="25" t="s">
        <v>33</v>
      </c>
      <c r="U181" s="25"/>
      <c r="V181" s="25"/>
      <c r="W181" s="26" t="s">
        <v>5</v>
      </c>
      <c r="X181" s="26" t="s">
        <v>6</v>
      </c>
    </row>
    <row r="182" spans="1:24" x14ac:dyDescent="0.25">
      <c r="A182" s="32"/>
      <c r="B182" s="33"/>
      <c r="C182" s="35"/>
      <c r="D182" s="35"/>
      <c r="E182" s="1" t="s">
        <v>7</v>
      </c>
      <c r="F182" s="1" t="s">
        <v>8</v>
      </c>
      <c r="G182" s="2" t="s">
        <v>9</v>
      </c>
      <c r="H182" s="27"/>
      <c r="I182" s="27"/>
      <c r="J182" s="1" t="s">
        <v>7</v>
      </c>
      <c r="K182" s="1" t="s">
        <v>8</v>
      </c>
      <c r="L182" s="2" t="s">
        <v>9</v>
      </c>
      <c r="M182" s="27"/>
      <c r="N182" s="27"/>
      <c r="O182" s="1" t="s">
        <v>7</v>
      </c>
      <c r="P182" s="1" t="s">
        <v>8</v>
      </c>
      <c r="Q182" s="2" t="s">
        <v>9</v>
      </c>
      <c r="R182" s="27"/>
      <c r="S182" s="27"/>
      <c r="T182" s="1" t="s">
        <v>7</v>
      </c>
      <c r="U182" s="1" t="s">
        <v>8</v>
      </c>
      <c r="V182" s="2" t="s">
        <v>9</v>
      </c>
      <c r="W182" s="27"/>
      <c r="X182" s="27"/>
    </row>
    <row r="183" spans="1:24" x14ac:dyDescent="0.25">
      <c r="A183" s="28">
        <v>1</v>
      </c>
      <c r="B183" s="5">
        <v>5</v>
      </c>
      <c r="C183" s="6">
        <v>847</v>
      </c>
      <c r="D183" s="6">
        <v>600</v>
      </c>
      <c r="E183" s="6">
        <v>254.57592203682657</v>
      </c>
      <c r="F183" s="6">
        <v>1.706180315099741</v>
      </c>
      <c r="G183" s="6">
        <v>6.7020490447361617E-3</v>
      </c>
      <c r="H183" s="22">
        <f>F183+F184-F185-F186</f>
        <v>-9.964934001399417E-3</v>
      </c>
      <c r="I183" s="22">
        <f>-H183/(2*(G183+G184+G185+G186))</f>
        <v>0.10111355974384988</v>
      </c>
      <c r="J183" s="6">
        <f>E183+I183</f>
        <v>254.67703559657042</v>
      </c>
      <c r="K183" s="6">
        <f>10.67*((ABS(J183)/1000)^1.852)*C183/((100^1.852)*(D183/1000)^4.87)</f>
        <v>1.7074355686527771</v>
      </c>
      <c r="L183" s="6">
        <f>ABS(K183/J183)</f>
        <v>6.7043169583515059E-3</v>
      </c>
      <c r="M183" s="22">
        <f>K183+K184-K185-K186</f>
        <v>-1.0734935963349956E-2</v>
      </c>
      <c r="N183" s="22">
        <f>-M183/(2*(L183+L184+L185+L186))</f>
        <v>0.10893471076284809</v>
      </c>
      <c r="O183" s="6">
        <f>J183+N183</f>
        <v>254.78597030733326</v>
      </c>
      <c r="P183" s="6">
        <f>10.67*((ABS(O183)/1000)^1.852)*C183/((100^1.852)*(D183/1000)^4.87)</f>
        <v>1.7087883915071955</v>
      </c>
      <c r="Q183" s="6">
        <f>ABS(P183/O183)</f>
        <v>6.7067601463533686E-3</v>
      </c>
      <c r="R183" s="22">
        <f>P183+P184-P185-P186</f>
        <v>-7.7834207155802471E-3</v>
      </c>
      <c r="S183" s="22">
        <f>-R183/(2*(Q183+Q184+Q185+Q186))</f>
        <v>7.8979187323614974E-2</v>
      </c>
      <c r="T183" s="6">
        <f>O183+S183</f>
        <v>254.86494949465688</v>
      </c>
      <c r="U183" s="6">
        <f>10.67*((ABS(T183)/1000)^1.852)*C183/((100^1.852)*(D183/1000)^4.87)</f>
        <v>1.7097695151988899</v>
      </c>
      <c r="V183" s="6">
        <f>ABS(U183/T183)</f>
        <v>6.7085313951133728E-3</v>
      </c>
      <c r="W183" s="22">
        <f>U183+U184-U185-U186</f>
        <v>-7.812017593737508E-3</v>
      </c>
      <c r="X183" s="22">
        <f>-W183/(2*(V183+V184+V185+V186))</f>
        <v>7.9272235571019922E-2</v>
      </c>
    </row>
    <row r="184" spans="1:24" x14ac:dyDescent="0.25">
      <c r="A184" s="28"/>
      <c r="B184" s="8">
        <v>9</v>
      </c>
      <c r="C184" s="9">
        <v>1121</v>
      </c>
      <c r="D184" s="9">
        <v>400</v>
      </c>
      <c r="E184" s="6">
        <v>77.147202891369659</v>
      </c>
      <c r="F184" s="6">
        <v>1.7826039153099089</v>
      </c>
      <c r="G184" s="6">
        <v>2.310652685386376E-2</v>
      </c>
      <c r="H184" s="23"/>
      <c r="I184" s="23"/>
      <c r="J184" s="6">
        <f>E184+I183-I196</f>
        <v>77.109504573550467</v>
      </c>
      <c r="K184" s="6">
        <f t="shared" ref="K184:K208" si="104">10.67*((ABS(J184)/1000)^1.852)*C184/((100^1.852)*(D184/1000)^4.87)</f>
        <v>1.7809910161784028</v>
      </c>
      <c r="L184" s="6">
        <f>ABS(K184/J184)</f>
        <v>2.3096906484201499E-2</v>
      </c>
      <c r="M184" s="23"/>
      <c r="N184" s="23"/>
      <c r="O184" s="6">
        <f>J184+N183-N196</f>
        <v>77.121162109751367</v>
      </c>
      <c r="P184" s="6">
        <f t="shared" ref="P184:P208" si="105">10.67*((ABS(O184)/1000)^1.852)*C184/((100^1.852)*(D184/1000)^4.87)</f>
        <v>1.7814897048927818</v>
      </c>
      <c r="Q184" s="6">
        <f>ABS(P184/O184)</f>
        <v>2.3099881487230939E-2</v>
      </c>
      <c r="R184" s="23"/>
      <c r="S184" s="23"/>
      <c r="T184" s="6">
        <f>O184+S183-S196</f>
        <v>77.09968329545994</v>
      </c>
      <c r="U184" s="6">
        <f>10.67*((ABS(T184)/1000)^1.852)*C184/((100^1.852)*(D184/1000)^4.87)</f>
        <v>1.7805709291789071</v>
      </c>
      <c r="V184" s="6">
        <f>ABS(U184/T184)</f>
        <v>2.3094400042545402E-2</v>
      </c>
      <c r="W184" s="23"/>
      <c r="X184" s="23"/>
    </row>
    <row r="185" spans="1:24" x14ac:dyDescent="0.25">
      <c r="A185" s="28"/>
      <c r="B185" s="3">
        <v>-6</v>
      </c>
      <c r="C185" s="4">
        <v>1075</v>
      </c>
      <c r="D185" s="4">
        <v>450</v>
      </c>
      <c r="E185" s="6">
        <v>-106.87274990736158</v>
      </c>
      <c r="F185" s="6">
        <v>1.761528184793282</v>
      </c>
      <c r="G185" s="6">
        <v>1.6482482076302828E-2</v>
      </c>
      <c r="H185" s="23"/>
      <c r="I185" s="23"/>
      <c r="J185" s="6">
        <f>E185+I183-I187</f>
        <v>-106.90456423859725</v>
      </c>
      <c r="K185" s="6">
        <f t="shared" si="104"/>
        <v>1.7624994581217621</v>
      </c>
      <c r="L185" s="6">
        <f t="shared" ref="L185" si="106">ABS(K185/J185)</f>
        <v>1.6486662385977176E-2</v>
      </c>
      <c r="M185" s="23"/>
      <c r="N185" s="23"/>
      <c r="O185" s="6">
        <f>J185+N183-N187</f>
        <v>-106.88825485227909</v>
      </c>
      <c r="P185" s="6">
        <f t="shared" si="105"/>
        <v>1.7620015111213172</v>
      </c>
      <c r="Q185" s="6">
        <f t="shared" ref="Q185" si="107">ABS(P185/O185)</f>
        <v>1.6484519403524973E-2</v>
      </c>
      <c r="R185" s="23"/>
      <c r="S185" s="23"/>
      <c r="T185" s="6">
        <f>O185+S183-S187</f>
        <v>-106.90552833984761</v>
      </c>
      <c r="U185" s="6">
        <f t="shared" ref="U185:U208" si="108">10.67*((ABS(T185)/1000)^1.852)*C185/((100^1.852)*(D185/1000)^4.87)</f>
        <v>1.7625288954263452</v>
      </c>
      <c r="V185" s="6">
        <f t="shared" ref="V185" si="109">ABS(U185/T185)</f>
        <v>1.6486789063175005E-2</v>
      </c>
      <c r="W185" s="23"/>
      <c r="X185" s="23"/>
    </row>
    <row r="186" spans="1:24" x14ac:dyDescent="0.25">
      <c r="A186" s="28"/>
      <c r="B186" s="5">
        <v>-2</v>
      </c>
      <c r="C186" s="6">
        <v>757</v>
      </c>
      <c r="D186" s="6">
        <v>800</v>
      </c>
      <c r="E186" s="6">
        <v>-582.00407796317347</v>
      </c>
      <c r="F186" s="6">
        <v>1.7372209796177673</v>
      </c>
      <c r="G186" s="6">
        <v>2.9848948579492439E-3</v>
      </c>
      <c r="H186" s="24"/>
      <c r="I186" s="24"/>
      <c r="J186" s="6">
        <f>E186+I183</f>
        <v>-581.90296440342968</v>
      </c>
      <c r="K186" s="6">
        <f t="shared" si="104"/>
        <v>1.7366620626727678</v>
      </c>
      <c r="L186" s="6">
        <f>ABS(K186/J186)</f>
        <v>2.98445302551982E-3</v>
      </c>
      <c r="M186" s="24"/>
      <c r="N186" s="24"/>
      <c r="O186" s="6">
        <f>J186+N183</f>
        <v>-581.79402969266687</v>
      </c>
      <c r="P186" s="6">
        <f t="shared" si="105"/>
        <v>1.7360600059942404</v>
      </c>
      <c r="Q186" s="6">
        <f>ABS(P186/O186)</f>
        <v>2.9839770045617612E-3</v>
      </c>
      <c r="R186" s="24"/>
      <c r="S186" s="24"/>
      <c r="T186" s="6">
        <f>O186+S183</f>
        <v>-581.71505050534324</v>
      </c>
      <c r="U186" s="6">
        <f t="shared" si="108"/>
        <v>1.7356235665451893</v>
      </c>
      <c r="V186" s="6">
        <f>ABS(U186/T186)</f>
        <v>2.9836318744674581E-3</v>
      </c>
      <c r="W186" s="24"/>
      <c r="X186" s="24"/>
    </row>
    <row r="187" spans="1:24" x14ac:dyDescent="0.25">
      <c r="A187" s="28">
        <v>2</v>
      </c>
      <c r="B187" s="3">
        <v>6</v>
      </c>
      <c r="C187" s="4">
        <v>1075</v>
      </c>
      <c r="D187" s="4">
        <v>450</v>
      </c>
      <c r="E187" s="6">
        <v>106.87274990736157</v>
      </c>
      <c r="F187" s="6">
        <v>1.761528184793282</v>
      </c>
      <c r="G187" s="6">
        <v>1.6482482076302832E-2</v>
      </c>
      <c r="H187" s="22">
        <f>F187+F188-F189-F190</f>
        <v>-2.5211462744757274E-2</v>
      </c>
      <c r="I187" s="22">
        <f>-H187/(2*(G187+G188+G189+G190))</f>
        <v>0.13292789097952221</v>
      </c>
      <c r="J187" s="6">
        <f>E187+I187-I183</f>
        <v>106.90456423859723</v>
      </c>
      <c r="K187" s="6">
        <f t="shared" si="104"/>
        <v>1.7624994581217621</v>
      </c>
      <c r="L187" s="6">
        <f t="shared" ref="L187:L193" si="110">ABS(K187/J187)</f>
        <v>1.648666238597718E-2</v>
      </c>
      <c r="M187" s="22">
        <f>K187+K188-K189-K190</f>
        <v>-1.7573873512012561E-2</v>
      </c>
      <c r="N187" s="22">
        <f>-M187/(2*(L187+L188+L189+L190))</f>
        <v>9.2625324444698121E-2</v>
      </c>
      <c r="O187" s="6">
        <f>J187+N187-N183</f>
        <v>106.88825485227908</v>
      </c>
      <c r="P187" s="6">
        <f t="shared" si="105"/>
        <v>1.7620015111213159</v>
      </c>
      <c r="Q187" s="6">
        <f t="shared" ref="Q187:Q193" si="111">ABS(P187/O187)</f>
        <v>1.6484519403524963E-2</v>
      </c>
      <c r="R187" s="22">
        <f>P187+P188-P189-P190</f>
        <v>-1.8255484210701223E-2</v>
      </c>
      <c r="S187" s="22">
        <f>-R187/(2*(Q187+Q188+Q189+Q190))</f>
        <v>9.6252674892130699E-2</v>
      </c>
      <c r="T187" s="6">
        <f>O187+S187-S183</f>
        <v>106.90552833984759</v>
      </c>
      <c r="U187" s="6">
        <f t="shared" si="108"/>
        <v>1.7625288954263452</v>
      </c>
      <c r="V187" s="6">
        <f t="shared" ref="V187:V193" si="112">ABS(U187/T187)</f>
        <v>1.6486789063175009E-2</v>
      </c>
      <c r="W187" s="22">
        <f>U187+U188-U189-U190</f>
        <v>-1.3650863715939376E-2</v>
      </c>
      <c r="X187" s="22">
        <f>-W187/(2*(V187+V188+V189+V190))</f>
        <v>7.1962584911127697E-2</v>
      </c>
    </row>
    <row r="188" spans="1:24" x14ac:dyDescent="0.25">
      <c r="A188" s="28"/>
      <c r="B188" s="20">
        <v>10</v>
      </c>
      <c r="C188" s="21">
        <v>1300</v>
      </c>
      <c r="D188" s="21">
        <v>300</v>
      </c>
      <c r="E188" s="6">
        <v>40.20079693778294</v>
      </c>
      <c r="F188" s="6">
        <v>2.5093997845477674</v>
      </c>
      <c r="G188" s="6">
        <v>6.2421642745825623E-2</v>
      </c>
      <c r="H188" s="23"/>
      <c r="I188" s="23"/>
      <c r="J188" s="6">
        <f>E188+I187-I200</f>
        <v>40.228326268593932</v>
      </c>
      <c r="K188" s="6">
        <f t="shared" si="104"/>
        <v>2.5125832379819912</v>
      </c>
      <c r="L188" s="6">
        <f t="shared" si="110"/>
        <v>6.2458060551814541E-2</v>
      </c>
      <c r="M188" s="23"/>
      <c r="N188" s="23"/>
      <c r="O188" s="6">
        <f>J188+N187-N200</f>
        <v>40.207133499265737</v>
      </c>
      <c r="P188" s="6">
        <f t="shared" si="105"/>
        <v>2.5101323711801191</v>
      </c>
      <c r="Q188" s="6">
        <f t="shared" si="111"/>
        <v>6.2430025538278158E-2</v>
      </c>
      <c r="R188" s="23"/>
      <c r="S188" s="23"/>
      <c r="T188" s="6">
        <f>O188+S187-S200</f>
        <v>40.220952057553241</v>
      </c>
      <c r="U188" s="6">
        <f t="shared" si="108"/>
        <v>2.5117303124331252</v>
      </c>
      <c r="V188" s="6">
        <f t="shared" si="112"/>
        <v>6.2448305769565643E-2</v>
      </c>
      <c r="W188" s="23"/>
      <c r="X188" s="23"/>
    </row>
    <row r="189" spans="1:24" x14ac:dyDescent="0.25">
      <c r="A189" s="28"/>
      <c r="B189" s="12">
        <v>-7</v>
      </c>
      <c r="C189" s="13">
        <v>600</v>
      </c>
      <c r="D189" s="13">
        <v>500</v>
      </c>
      <c r="E189" s="6">
        <v>-173.75852423904229</v>
      </c>
      <c r="F189" s="6">
        <v>1.4478112995741217</v>
      </c>
      <c r="G189" s="6">
        <v>8.332318117425682E-3</v>
      </c>
      <c r="H189" s="23"/>
      <c r="I189" s="23"/>
      <c r="J189" s="6">
        <f>E189+I187-I191</f>
        <v>-173.65394395896655</v>
      </c>
      <c r="K189" s="6">
        <f t="shared" si="104"/>
        <v>1.4461978876740349</v>
      </c>
      <c r="L189" s="6">
        <f t="shared" si="110"/>
        <v>8.3280451609884735E-3</v>
      </c>
      <c r="M189" s="23"/>
      <c r="N189" s="23"/>
      <c r="O189" s="6">
        <f>J189+N187-N191</f>
        <v>-173.59137496015126</v>
      </c>
      <c r="P189" s="6">
        <f t="shared" si="105"/>
        <v>1.445233000367997</v>
      </c>
      <c r="Q189" s="6">
        <f t="shared" si="111"/>
        <v>8.3254885255661885E-3</v>
      </c>
      <c r="R189" s="23"/>
      <c r="S189" s="23"/>
      <c r="T189" s="6">
        <f>O189+S187-S191</f>
        <v>-173.51831670917355</v>
      </c>
      <c r="U189" s="6">
        <f t="shared" si="108"/>
        <v>1.4441067314275224</v>
      </c>
      <c r="V189" s="6">
        <f t="shared" si="112"/>
        <v>8.322503115610131E-3</v>
      </c>
      <c r="W189" s="23"/>
      <c r="X189" s="23"/>
    </row>
    <row r="190" spans="1:24" x14ac:dyDescent="0.25">
      <c r="A190" s="28"/>
      <c r="B190" s="5">
        <v>-3</v>
      </c>
      <c r="C190" s="6">
        <v>690</v>
      </c>
      <c r="D190" s="6">
        <v>600</v>
      </c>
      <c r="E190" s="6">
        <v>-375.03132805581191</v>
      </c>
      <c r="F190" s="6">
        <v>2.8483281325116852</v>
      </c>
      <c r="G190" s="6">
        <v>7.594907196893692E-3</v>
      </c>
      <c r="H190" s="24"/>
      <c r="I190" s="24"/>
      <c r="J190" s="6">
        <f>E190+I187</f>
        <v>-374.89840016483237</v>
      </c>
      <c r="K190" s="6">
        <f t="shared" si="104"/>
        <v>2.8464586819417312</v>
      </c>
      <c r="L190" s="6">
        <f t="shared" si="110"/>
        <v>7.5926135739448949E-3</v>
      </c>
      <c r="M190" s="24"/>
      <c r="N190" s="24"/>
      <c r="O190" s="6">
        <f>J190+N187</f>
        <v>-374.80577484038764</v>
      </c>
      <c r="P190" s="6">
        <f t="shared" si="105"/>
        <v>2.8451563661441388</v>
      </c>
      <c r="Q190" s="6">
        <f t="shared" si="111"/>
        <v>7.5910152861325539E-3</v>
      </c>
      <c r="R190" s="24"/>
      <c r="S190" s="24"/>
      <c r="T190" s="6">
        <f>O190+S187</f>
        <v>-374.70952216549551</v>
      </c>
      <c r="U190" s="6">
        <f t="shared" si="108"/>
        <v>2.8438033401478875</v>
      </c>
      <c r="V190" s="6">
        <f t="shared" si="112"/>
        <v>7.5893543449688031E-3</v>
      </c>
      <c r="W190" s="24"/>
      <c r="X190" s="24"/>
    </row>
    <row r="191" spans="1:24" x14ac:dyDescent="0.25">
      <c r="A191" s="28">
        <v>3</v>
      </c>
      <c r="B191" s="12">
        <v>7</v>
      </c>
      <c r="C191" s="13">
        <v>600</v>
      </c>
      <c r="D191" s="13">
        <v>500</v>
      </c>
      <c r="E191" s="6">
        <v>173.75852423904226</v>
      </c>
      <c r="F191" s="6">
        <v>1.4478112995741215</v>
      </c>
      <c r="G191" s="6">
        <v>8.332318117425682E-3</v>
      </c>
      <c r="H191" s="22">
        <f>F191+F192+F193-F194-F195</f>
        <v>-1.4452671847070331E-2</v>
      </c>
      <c r="I191" s="22">
        <f>-H191/(2*(G191+G192+G193+G194+G195))</f>
        <v>2.8347610903785632E-2</v>
      </c>
      <c r="J191" s="6">
        <f>E191+I191-I187</f>
        <v>173.65394395896652</v>
      </c>
      <c r="K191" s="6">
        <f t="shared" si="104"/>
        <v>1.4461978876740347</v>
      </c>
      <c r="L191" s="6">
        <f t="shared" si="110"/>
        <v>8.3280451609884735E-3</v>
      </c>
      <c r="M191" s="22">
        <f>K191+K192+K193-K194-K195</f>
        <v>-1.5322093693283634E-2</v>
      </c>
      <c r="N191" s="22">
        <f>-M191/(2*(L191+L192+L193+L194+L195))</f>
        <v>3.0056325629399271E-2</v>
      </c>
      <c r="O191" s="6">
        <f>J191+N191-N187</f>
        <v>173.59137496015123</v>
      </c>
      <c r="P191" s="6">
        <f t="shared" si="105"/>
        <v>1.445233000367997</v>
      </c>
      <c r="Q191" s="6">
        <f t="shared" si="111"/>
        <v>8.3254885255661885E-3</v>
      </c>
      <c r="R191" s="22">
        <f>P191+P192+P193-P194-P195</f>
        <v>-1.1828916712439241E-2</v>
      </c>
      <c r="S191" s="22">
        <f>-R191/(2*(Q191+Q192+Q193+Q194+Q195))</f>
        <v>2.3194423914415216E-2</v>
      </c>
      <c r="T191" s="6">
        <f>O191+S191-S187</f>
        <v>173.51831670917352</v>
      </c>
      <c r="U191" s="6">
        <f t="shared" si="108"/>
        <v>1.4441067314275216</v>
      </c>
      <c r="V191" s="6">
        <f t="shared" si="112"/>
        <v>8.3225031156101276E-3</v>
      </c>
      <c r="W191" s="22">
        <f>U191+U192+U193-U194-U195</f>
        <v>-1.1606286976283631E-2</v>
      </c>
      <c r="X191" s="22">
        <f>-W191/(2*(V191+V192+V193+V194+V195))</f>
        <v>2.2757664308468508E-2</v>
      </c>
    </row>
    <row r="192" spans="1:24" x14ac:dyDescent="0.25">
      <c r="A192" s="28"/>
      <c r="B192" s="18">
        <v>14</v>
      </c>
      <c r="C192" s="19">
        <v>460</v>
      </c>
      <c r="D192" s="19">
        <v>500</v>
      </c>
      <c r="E192" s="6">
        <v>132.07932117682523</v>
      </c>
      <c r="F192" s="6">
        <v>0.6679199750370437</v>
      </c>
      <c r="G192" s="6">
        <v>5.056960991969707E-3</v>
      </c>
      <c r="H192" s="23"/>
      <c r="I192" s="23"/>
      <c r="J192" s="6">
        <f>E192+I191-I200</f>
        <v>132.00227022756047</v>
      </c>
      <c r="K192" s="6">
        <f t="shared" si="104"/>
        <v>0.6671985343454544</v>
      </c>
      <c r="L192" s="6">
        <f t="shared" si="110"/>
        <v>5.0544474212092108E-3</v>
      </c>
      <c r="M192" s="23"/>
      <c r="N192" s="23"/>
      <c r="O192" s="6">
        <f>J192+N191-N200</f>
        <v>131.91850845941698</v>
      </c>
      <c r="P192" s="6">
        <f t="shared" si="105"/>
        <v>0.66641466607570043</v>
      </c>
      <c r="Q192" s="6">
        <f t="shared" si="111"/>
        <v>5.0517146824830437E-3</v>
      </c>
      <c r="R192" s="23"/>
      <c r="S192" s="23"/>
      <c r="T192" s="6">
        <f>O192+S191-S200</f>
        <v>131.85926876672679</v>
      </c>
      <c r="U192" s="6">
        <f t="shared" si="108"/>
        <v>0.66586053883234186</v>
      </c>
      <c r="V192" s="6">
        <f t="shared" si="112"/>
        <v>5.0497818246688494E-3</v>
      </c>
      <c r="W192" s="23"/>
      <c r="X192" s="23"/>
    </row>
    <row r="193" spans="1:24" x14ac:dyDescent="0.25">
      <c r="A193" s="28"/>
      <c r="B193" s="16">
        <v>11</v>
      </c>
      <c r="C193" s="17">
        <v>1590</v>
      </c>
      <c r="D193" s="17">
        <v>200</v>
      </c>
      <c r="E193" s="6">
        <v>12.657021574088768</v>
      </c>
      <c r="F193" s="6">
        <v>2.6005394152558221</v>
      </c>
      <c r="G193" s="6">
        <v>0.20546219345786695</v>
      </c>
      <c r="H193" s="23"/>
      <c r="I193" s="23"/>
      <c r="J193" s="6">
        <f>E193+I191-I205</f>
        <v>12.65589696705692</v>
      </c>
      <c r="K193" s="6">
        <f t="shared" si="104"/>
        <v>2.6001115005041591</v>
      </c>
      <c r="L193" s="6">
        <f t="shared" si="110"/>
        <v>0.20544663940234376</v>
      </c>
      <c r="M193" s="23"/>
      <c r="N193" s="23"/>
      <c r="O193" s="6">
        <f>J193+N191-N205</f>
        <v>12.664396385321192</v>
      </c>
      <c r="P193" s="6">
        <f t="shared" si="105"/>
        <v>2.6033463453268735</v>
      </c>
      <c r="Q193" s="6">
        <f t="shared" si="111"/>
        <v>0.20556418688413058</v>
      </c>
      <c r="R193" s="23"/>
      <c r="S193" s="23"/>
      <c r="T193" s="6">
        <f>O193+S191-S205</f>
        <v>12.665327336856778</v>
      </c>
      <c r="U193" s="6">
        <f t="shared" si="108"/>
        <v>2.6037007742125735</v>
      </c>
      <c r="V193" s="6">
        <f t="shared" si="112"/>
        <v>0.2055770612920256</v>
      </c>
      <c r="W193" s="23"/>
      <c r="X193" s="23"/>
    </row>
    <row r="194" spans="1:24" x14ac:dyDescent="0.25">
      <c r="A194" s="28"/>
      <c r="B194" s="5">
        <v>-8</v>
      </c>
      <c r="C194" s="6">
        <v>284</v>
      </c>
      <c r="D194" s="6">
        <v>400</v>
      </c>
      <c r="E194" s="6">
        <v>-112.47280381676956</v>
      </c>
      <c r="F194" s="6">
        <v>0.90780090624475185</v>
      </c>
      <c r="G194" s="6">
        <v>8.0712925741911658E-3</v>
      </c>
      <c r="H194" s="23"/>
      <c r="I194" s="23"/>
      <c r="J194" s="6">
        <f>E194+I191</f>
        <v>-112.44445620586578</v>
      </c>
      <c r="K194" s="6">
        <f t="shared" si="104"/>
        <v>0.90737721069464849</v>
      </c>
      <c r="L194" s="6">
        <f>ABS(K194/J194)</f>
        <v>8.0695593301051884E-3</v>
      </c>
      <c r="M194" s="23"/>
      <c r="N194" s="23"/>
      <c r="O194" s="6">
        <f>J194+N191</f>
        <v>-112.41439988023637</v>
      </c>
      <c r="P194" s="6">
        <f t="shared" si="105"/>
        <v>0.90692807535097497</v>
      </c>
      <c r="Q194" s="6">
        <f>ABS(P194/O194)</f>
        <v>8.0677215402759298E-3</v>
      </c>
      <c r="R194" s="23"/>
      <c r="S194" s="23"/>
      <c r="T194" s="6">
        <f>O194+S191</f>
        <v>-112.39120545632196</v>
      </c>
      <c r="U194" s="6">
        <f t="shared" si="108"/>
        <v>0.90658154817631575</v>
      </c>
      <c r="V194" s="6">
        <f>ABS(U194/T194)</f>
        <v>8.0663032707540099E-3</v>
      </c>
      <c r="W194" s="23"/>
      <c r="X194" s="23"/>
    </row>
    <row r="195" spans="1:24" x14ac:dyDescent="0.25">
      <c r="A195" s="28"/>
      <c r="B195" s="5">
        <v>-4</v>
      </c>
      <c r="C195" s="6">
        <v>835</v>
      </c>
      <c r="D195" s="5">
        <v>400</v>
      </c>
      <c r="E195" s="6">
        <v>-136.55280381676963</v>
      </c>
      <c r="F195" s="6">
        <v>3.8229224554693055</v>
      </c>
      <c r="G195" s="6">
        <v>2.799592793860908E-2</v>
      </c>
      <c r="H195" s="24"/>
      <c r="I195" s="24"/>
      <c r="J195" s="6">
        <f>E195+I191</f>
        <v>-136.52445620586585</v>
      </c>
      <c r="K195" s="6">
        <f t="shared" si="104"/>
        <v>3.8214528055222834</v>
      </c>
      <c r="L195" s="6">
        <f t="shared" ref="L195" si="113">ABS(K195/J195)</f>
        <v>2.7990976208393737E-2</v>
      </c>
      <c r="M195" s="24"/>
      <c r="N195" s="24"/>
      <c r="O195" s="6">
        <f>J195+N191</f>
        <v>-136.49439988023644</v>
      </c>
      <c r="P195" s="6">
        <f t="shared" si="105"/>
        <v>3.8198948531320354</v>
      </c>
      <c r="Q195" s="6">
        <f t="shared" ref="Q195" si="114">ABS(P195/O195)</f>
        <v>2.7985725835519299E-2</v>
      </c>
      <c r="R195" s="24"/>
      <c r="S195" s="24"/>
      <c r="T195" s="6">
        <f>O195+S191</f>
        <v>-136.47120545632202</v>
      </c>
      <c r="U195" s="6">
        <f t="shared" si="108"/>
        <v>3.8186927832724042</v>
      </c>
      <c r="V195" s="6">
        <f t="shared" ref="V195" si="115">ABS(U195/T195)</f>
        <v>2.7981674013237812E-2</v>
      </c>
      <c r="W195" s="24"/>
      <c r="X195" s="24"/>
    </row>
    <row r="196" spans="1:24" x14ac:dyDescent="0.25">
      <c r="A196" s="28">
        <v>4</v>
      </c>
      <c r="B196" s="5">
        <v>12</v>
      </c>
      <c r="C196" s="6">
        <v>385</v>
      </c>
      <c r="D196" s="5">
        <v>400</v>
      </c>
      <c r="E196" s="6">
        <v>105.76871914545684</v>
      </c>
      <c r="F196" s="6">
        <v>1.0982535331382226</v>
      </c>
      <c r="G196" s="6">
        <v>1.0383538176612179E-2</v>
      </c>
      <c r="H196" s="22">
        <f>F196+F197-F198-F199</f>
        <v>-9.9060637860155731E-2</v>
      </c>
      <c r="I196" s="22">
        <f>-H196/(2*(G196+G197+G198+G199))</f>
        <v>0.13881187756304472</v>
      </c>
      <c r="J196" s="6">
        <f>E196+I196</f>
        <v>105.90753102301989</v>
      </c>
      <c r="K196" s="6">
        <f t="shared" si="104"/>
        <v>1.1009244212771534</v>
      </c>
      <c r="L196" s="6">
        <f>ABS(K196/J196)</f>
        <v>1.0395147640991255E-2</v>
      </c>
      <c r="M196" s="22">
        <f>K196+K197-K198-K199</f>
        <v>-6.9168574646294889E-2</v>
      </c>
      <c r="N196" s="22">
        <f>-M196/(2*(L196+L197+L198+L199))</f>
        <v>9.7277174561946206E-2</v>
      </c>
      <c r="O196" s="6">
        <f>J196+N196</f>
        <v>106.00480819758184</v>
      </c>
      <c r="P196" s="6">
        <f t="shared" si="105"/>
        <v>1.1027979160442647</v>
      </c>
      <c r="Q196" s="6">
        <f>ABS(P196/O196)</f>
        <v>1.0403282028384647E-2</v>
      </c>
      <c r="R196" s="22">
        <f>P196+P197-P198-P199</f>
        <v>-7.1571080482656591E-2</v>
      </c>
      <c r="S196" s="22">
        <f>-R196/(2*(Q196+Q197+Q198+Q199))</f>
        <v>0.1004580016150374</v>
      </c>
      <c r="T196" s="6">
        <f>O196+S196</f>
        <v>106.10526619919688</v>
      </c>
      <c r="U196" s="6">
        <f t="shared" si="108"/>
        <v>1.104734209484685</v>
      </c>
      <c r="V196" s="6">
        <f>ABS(U196/T196)</f>
        <v>1.0411681239371386E-2</v>
      </c>
      <c r="W196" s="22">
        <f>U196+U197-U198-U199</f>
        <v>-5.3533896531901437E-2</v>
      </c>
      <c r="X196" s="22">
        <f>-W196/(2*(V196+V197+V198+V199))</f>
        <v>7.5286275458401414E-2</v>
      </c>
    </row>
    <row r="197" spans="1:24" x14ac:dyDescent="0.25">
      <c r="A197" s="28"/>
      <c r="B197" s="5">
        <v>17</v>
      </c>
      <c r="C197" s="6">
        <v>320</v>
      </c>
      <c r="D197" s="5">
        <v>300</v>
      </c>
      <c r="E197" s="6">
        <v>84.298719145456843</v>
      </c>
      <c r="F197" s="6">
        <v>2.434189219138795</v>
      </c>
      <c r="G197" s="6">
        <v>2.8875755691360135E-2</v>
      </c>
      <c r="H197" s="23"/>
      <c r="I197" s="23"/>
      <c r="J197" s="6">
        <f>E197+I196</f>
        <v>84.437531023019886</v>
      </c>
      <c r="K197" s="6">
        <f t="shared" si="104"/>
        <v>2.4416177937027395</v>
      </c>
      <c r="L197" s="6">
        <f t="shared" ref="L197" si="116">ABS(K197/J197)</f>
        <v>2.8916262284328167E-2</v>
      </c>
      <c r="M197" s="23"/>
      <c r="N197" s="23"/>
      <c r="O197" s="6">
        <f>J197+N196</f>
        <v>84.534808197581839</v>
      </c>
      <c r="P197" s="6">
        <f t="shared" si="105"/>
        <v>2.446829826781888</v>
      </c>
      <c r="Q197" s="6">
        <f t="shared" ref="Q197" si="117">ABS(P197/O197)</f>
        <v>2.8944642792149623E-2</v>
      </c>
      <c r="R197" s="23"/>
      <c r="S197" s="23"/>
      <c r="T197" s="6">
        <f>O197+S196</f>
        <v>84.635266199196877</v>
      </c>
      <c r="U197" s="6">
        <f t="shared" si="108"/>
        <v>2.4522176520287839</v>
      </c>
      <c r="V197" s="6">
        <f t="shared" ref="V197" si="118">ABS(U197/T197)</f>
        <v>2.8973946230136081E-2</v>
      </c>
      <c r="W197" s="23"/>
      <c r="X197" s="23"/>
    </row>
    <row r="198" spans="1:24" x14ac:dyDescent="0.25">
      <c r="A198" s="28"/>
      <c r="B198" s="10">
        <v>-13</v>
      </c>
      <c r="C198" s="11">
        <v>1020</v>
      </c>
      <c r="D198" s="10">
        <v>150</v>
      </c>
      <c r="E198" s="6">
        <v>-6.2791558609483182</v>
      </c>
      <c r="F198" s="6">
        <v>1.8488994748272645</v>
      </c>
      <c r="G198" s="6">
        <v>0.29445032354206158</v>
      </c>
      <c r="H198" s="23"/>
      <c r="I198" s="23"/>
      <c r="J198" s="6">
        <f>E198+I196-I200</f>
        <v>-6.2457425435538028</v>
      </c>
      <c r="K198" s="6">
        <f t="shared" si="104"/>
        <v>1.8307197734477834</v>
      </c>
      <c r="L198" s="6">
        <f>ABS(K198/J198)</f>
        <v>0.29311483153228263</v>
      </c>
      <c r="M198" s="23"/>
      <c r="N198" s="23"/>
      <c r="O198" s="6">
        <f>J198+N196-N200</f>
        <v>-6.2622834627647492</v>
      </c>
      <c r="P198" s="6">
        <f t="shared" si="105"/>
        <v>1.8397091184160261</v>
      </c>
      <c r="Q198" s="6">
        <f>ABS(P198/O198)</f>
        <v>0.29377608493049739</v>
      </c>
      <c r="R198" s="23"/>
      <c r="S198" s="23"/>
      <c r="T198" s="6">
        <f>O198+S196-S200</f>
        <v>-6.2442595777543382</v>
      </c>
      <c r="U198" s="6">
        <f t="shared" si="108"/>
        <v>1.8299148288664615</v>
      </c>
      <c r="V198" s="6">
        <f>ABS(U198/T198)</f>
        <v>0.29305553462025757</v>
      </c>
      <c r="W198" s="23"/>
      <c r="X198" s="23"/>
    </row>
    <row r="199" spans="1:24" x14ac:dyDescent="0.25">
      <c r="A199" s="28"/>
      <c r="B199" s="8">
        <v>-9</v>
      </c>
      <c r="C199" s="9">
        <v>1121</v>
      </c>
      <c r="D199" s="8">
        <v>400</v>
      </c>
      <c r="E199" s="6">
        <v>-77.147202891369687</v>
      </c>
      <c r="F199" s="6">
        <v>1.7826039153099089</v>
      </c>
      <c r="G199" s="6">
        <v>2.3106526853863753E-2</v>
      </c>
      <c r="H199" s="24"/>
      <c r="I199" s="24"/>
      <c r="J199" s="6">
        <f>E199+I196-I183</f>
        <v>-77.109504573550495</v>
      </c>
      <c r="K199" s="6">
        <f t="shared" si="104"/>
        <v>1.7809910161784042</v>
      </c>
      <c r="L199" s="6">
        <f t="shared" ref="L199:L208" si="119">ABS(K199/J199)</f>
        <v>2.3096906484201506E-2</v>
      </c>
      <c r="M199" s="24"/>
      <c r="N199" s="24"/>
      <c r="O199" s="6">
        <f>J199+N196-N183</f>
        <v>-77.121162109751396</v>
      </c>
      <c r="P199" s="6">
        <f t="shared" si="105"/>
        <v>1.7814897048927831</v>
      </c>
      <c r="Q199" s="6">
        <f t="shared" ref="Q199:Q208" si="120">ABS(P199/O199)</f>
        <v>2.3099881487230949E-2</v>
      </c>
      <c r="R199" s="24"/>
      <c r="S199" s="24"/>
      <c r="T199" s="6">
        <f>O199+S196-S183</f>
        <v>-77.099683295459968</v>
      </c>
      <c r="U199" s="6">
        <f t="shared" si="108"/>
        <v>1.7805709291789091</v>
      </c>
      <c r="V199" s="6">
        <f t="shared" ref="V199:V208" si="121">ABS(U199/T199)</f>
        <v>2.309440004254542E-2</v>
      </c>
      <c r="W199" s="24"/>
      <c r="X199" s="24"/>
    </row>
    <row r="200" spans="1:24" x14ac:dyDescent="0.25">
      <c r="A200" s="29">
        <v>5</v>
      </c>
      <c r="B200" s="10">
        <v>13</v>
      </c>
      <c r="C200" s="11">
        <v>1020</v>
      </c>
      <c r="D200" s="10">
        <v>150</v>
      </c>
      <c r="E200" s="6">
        <v>6.2791558609483245</v>
      </c>
      <c r="F200" s="6">
        <v>1.8488994748272674</v>
      </c>
      <c r="G200" s="6">
        <v>0.29445032354206174</v>
      </c>
      <c r="H200" s="22">
        <f>F200+F201-F202-F203-F204</f>
        <v>-9.2819012738669215E-2</v>
      </c>
      <c r="I200" s="22">
        <f>-H200/(2*(G200+G201+G202+G203+G204))</f>
        <v>0.10539856016852933</v>
      </c>
      <c r="J200" s="6">
        <f>E200+I200-I196</f>
        <v>6.245742543553809</v>
      </c>
      <c r="K200" s="6">
        <f t="shared" si="104"/>
        <v>1.8307197734477865</v>
      </c>
      <c r="L200" s="6">
        <f t="shared" si="119"/>
        <v>0.29311483153228285</v>
      </c>
      <c r="M200" s="22">
        <f>K200+K201-K202-K203-K204</f>
        <v>-9.9942530896446335E-2</v>
      </c>
      <c r="N200" s="22">
        <f>-M200/(2*(L200+L201+L202+L203+L204))</f>
        <v>0.11381809377289281</v>
      </c>
      <c r="O200" s="6">
        <f>J200+N200-N196</f>
        <v>6.2622834627647554</v>
      </c>
      <c r="P200" s="6">
        <f t="shared" si="105"/>
        <v>1.8397091184160295</v>
      </c>
      <c r="Q200" s="6">
        <f t="shared" si="120"/>
        <v>0.29377608493049762</v>
      </c>
      <c r="R200" s="22">
        <f>P200+P201-P202-P203-P204</f>
        <v>-7.2491601789388849E-2</v>
      </c>
      <c r="S200" s="22">
        <f>-R200/(2*(Q200+Q201+Q202+Q203+Q204))</f>
        <v>8.2434116604626601E-2</v>
      </c>
      <c r="T200" s="6">
        <f>O200+S200-S196</f>
        <v>6.2442595777543444</v>
      </c>
      <c r="U200" s="6">
        <f t="shared" si="108"/>
        <v>1.8299148288664644</v>
      </c>
      <c r="V200" s="6">
        <f t="shared" si="121"/>
        <v>0.29305553462025774</v>
      </c>
      <c r="W200" s="22">
        <f>U200+U201-U202-U203-U204</f>
        <v>-7.2699537652110457E-2</v>
      </c>
      <c r="X200" s="22">
        <f>-W200/(2*(V200+V201+V202+V203+V204))</f>
        <v>8.2799932786581626E-2</v>
      </c>
    </row>
    <row r="201" spans="1:24" x14ac:dyDescent="0.25">
      <c r="A201" s="30"/>
      <c r="B201" s="5">
        <v>18</v>
      </c>
      <c r="C201" s="6">
        <v>651</v>
      </c>
      <c r="D201" s="5">
        <v>300</v>
      </c>
      <c r="E201" s="6">
        <v>62.687875006405157</v>
      </c>
      <c r="F201" s="6">
        <v>2.8612040367263369</v>
      </c>
      <c r="G201" s="6">
        <v>4.5642064536945817E-2</v>
      </c>
      <c r="H201" s="23"/>
      <c r="I201" s="23"/>
      <c r="J201" s="6">
        <f>E201+I200</f>
        <v>62.793273566573689</v>
      </c>
      <c r="K201" s="6">
        <f t="shared" si="104"/>
        <v>2.870119663190815</v>
      </c>
      <c r="L201" s="6">
        <f t="shared" si="119"/>
        <v>4.5707438076912847E-2</v>
      </c>
      <c r="M201" s="23"/>
      <c r="N201" s="23"/>
      <c r="O201" s="6">
        <f>J201+N200</f>
        <v>62.90709166034658</v>
      </c>
      <c r="P201" s="6">
        <f t="shared" si="105"/>
        <v>2.8797618236730789</v>
      </c>
      <c r="Q201" s="6">
        <f t="shared" si="120"/>
        <v>4.5778015604691094E-2</v>
      </c>
      <c r="R201" s="23"/>
      <c r="S201" s="23"/>
      <c r="T201" s="6">
        <f>O201+S200</f>
        <v>62.989525776951204</v>
      </c>
      <c r="U201" s="6">
        <f t="shared" si="108"/>
        <v>2.8867545621855255</v>
      </c>
      <c r="V201" s="6">
        <f t="shared" si="121"/>
        <v>4.5829120422459693E-2</v>
      </c>
      <c r="W201" s="23"/>
      <c r="X201" s="23"/>
    </row>
    <row r="202" spans="1:24" x14ac:dyDescent="0.25">
      <c r="A202" s="30"/>
      <c r="B202" s="14">
        <f>-15</f>
        <v>-15</v>
      </c>
      <c r="C202" s="15">
        <v>570</v>
      </c>
      <c r="D202" s="14">
        <v>300</v>
      </c>
      <c r="E202" s="6">
        <v>-49.632299602736474</v>
      </c>
      <c r="F202" s="6">
        <v>1.6256027647074653</v>
      </c>
      <c r="G202" s="6">
        <v>3.2752920531972242E-2</v>
      </c>
      <c r="H202" s="23"/>
      <c r="I202" s="23"/>
      <c r="J202" s="6">
        <f>E202+I200-I205</f>
        <v>-49.556373260503577</v>
      </c>
      <c r="K202" s="6">
        <f t="shared" si="104"/>
        <v>1.6210001952076036</v>
      </c>
      <c r="L202" s="6">
        <f t="shared" si="119"/>
        <v>3.2710226526999314E-2</v>
      </c>
      <c r="M202" s="23"/>
      <c r="N202" s="23"/>
      <c r="O202" s="6">
        <f>J202+N200-N205</f>
        <v>-49.464112074095816</v>
      </c>
      <c r="P202" s="6">
        <f t="shared" si="105"/>
        <v>1.6154155066226774</v>
      </c>
      <c r="Q202" s="6">
        <f t="shared" si="120"/>
        <v>3.2658334272792189E-2</v>
      </c>
      <c r="R202" s="23"/>
      <c r="S202" s="23"/>
      <c r="T202" s="6">
        <f>O202+S200-S205</f>
        <v>-49.403941429870024</v>
      </c>
      <c r="U202" s="6">
        <f t="shared" si="108"/>
        <v>1.6117780774386359</v>
      </c>
      <c r="V202" s="6">
        <f t="shared" si="121"/>
        <v>3.2624483609806521E-2</v>
      </c>
      <c r="W202" s="23"/>
      <c r="X202" s="23"/>
    </row>
    <row r="203" spans="1:24" x14ac:dyDescent="0.25">
      <c r="A203" s="30"/>
      <c r="B203" s="18">
        <v>-14</v>
      </c>
      <c r="C203" s="19">
        <v>460</v>
      </c>
      <c r="D203" s="18">
        <v>500</v>
      </c>
      <c r="E203" s="6">
        <v>-132.07932117682523</v>
      </c>
      <c r="F203" s="6">
        <v>0.6679199750370437</v>
      </c>
      <c r="G203" s="6">
        <v>5.056960991969707E-3</v>
      </c>
      <c r="H203" s="23"/>
      <c r="I203" s="23"/>
      <c r="J203" s="6">
        <f>E203+I200-I191</f>
        <v>-132.00227022756047</v>
      </c>
      <c r="K203" s="6">
        <f t="shared" si="104"/>
        <v>0.6671985343454544</v>
      </c>
      <c r="L203" s="6">
        <f t="shared" si="119"/>
        <v>5.0544474212092108E-3</v>
      </c>
      <c r="M203" s="23"/>
      <c r="N203" s="23"/>
      <c r="O203" s="6">
        <f>J203+N200-N191</f>
        <v>-131.91850845941698</v>
      </c>
      <c r="P203" s="6">
        <f t="shared" si="105"/>
        <v>0.66641466607570043</v>
      </c>
      <c r="Q203" s="6">
        <f t="shared" si="120"/>
        <v>5.0517146824830437E-3</v>
      </c>
      <c r="R203" s="23"/>
      <c r="S203" s="23"/>
      <c r="T203" s="6">
        <f>O203+S200-S191</f>
        <v>-131.85926876672679</v>
      </c>
      <c r="U203" s="6">
        <f t="shared" si="108"/>
        <v>0.66586053883234186</v>
      </c>
      <c r="V203" s="6">
        <f t="shared" si="121"/>
        <v>5.0497818246688494E-3</v>
      </c>
      <c r="W203" s="23"/>
      <c r="X203" s="23"/>
    </row>
    <row r="204" spans="1:24" x14ac:dyDescent="0.25">
      <c r="A204" s="31"/>
      <c r="B204" s="20">
        <v>-10</v>
      </c>
      <c r="C204" s="21">
        <v>1300</v>
      </c>
      <c r="D204" s="20">
        <v>300</v>
      </c>
      <c r="E204" s="6">
        <v>-40.200796937782933</v>
      </c>
      <c r="F204" s="6">
        <v>2.5093997845477647</v>
      </c>
      <c r="G204" s="6">
        <v>6.2421642745825567E-2</v>
      </c>
      <c r="H204" s="24"/>
      <c r="I204" s="24"/>
      <c r="J204" s="6">
        <f>E204+I200-I187</f>
        <v>-40.228326268593925</v>
      </c>
      <c r="K204" s="6">
        <f t="shared" si="104"/>
        <v>2.5125832379819895</v>
      </c>
      <c r="L204" s="6">
        <f t="shared" si="119"/>
        <v>6.2458060551814507E-2</v>
      </c>
      <c r="M204" s="24"/>
      <c r="N204" s="24"/>
      <c r="O204" s="6">
        <f>J204+N200-N187</f>
        <v>-40.20713349926573</v>
      </c>
      <c r="P204" s="6">
        <f t="shared" si="105"/>
        <v>2.5101323711801191</v>
      </c>
      <c r="Q204" s="6">
        <f t="shared" si="120"/>
        <v>6.2430025538278165E-2</v>
      </c>
      <c r="R204" s="24"/>
      <c r="S204" s="24"/>
      <c r="T204" s="6">
        <f>O204+S200-S187</f>
        <v>-40.220952057553234</v>
      </c>
      <c r="U204" s="6">
        <f t="shared" si="108"/>
        <v>2.5117303124331229</v>
      </c>
      <c r="V204" s="6">
        <f t="shared" si="121"/>
        <v>6.2448305769565601E-2</v>
      </c>
      <c r="W204" s="24"/>
      <c r="X204" s="24"/>
    </row>
    <row r="205" spans="1:24" x14ac:dyDescent="0.25">
      <c r="A205" s="28">
        <v>6</v>
      </c>
      <c r="B205" s="14">
        <v>15</v>
      </c>
      <c r="C205" s="15">
        <v>570</v>
      </c>
      <c r="D205" s="14">
        <v>300</v>
      </c>
      <c r="E205" s="6">
        <v>49.632299602736488</v>
      </c>
      <c r="F205" s="6">
        <v>1.6256027647074653</v>
      </c>
      <c r="G205" s="6">
        <v>3.2752920531972235E-2</v>
      </c>
      <c r="H205" s="22">
        <f>F205+F206-F207-F208</f>
        <v>-2.6117820920433132E-2</v>
      </c>
      <c r="I205" s="22">
        <f>-H205/(2*(G205+G206+G207+G208))</f>
        <v>2.9472217935633323E-2</v>
      </c>
      <c r="J205" s="6">
        <f>E205+I205-I200</f>
        <v>49.556373260503591</v>
      </c>
      <c r="K205" s="6">
        <f t="shared" si="104"/>
        <v>1.621000195207605</v>
      </c>
      <c r="L205" s="6">
        <f t="shared" si="119"/>
        <v>3.2710226526999335E-2</v>
      </c>
      <c r="M205" s="22">
        <f>K205+K206-K207-K208</f>
        <v>-1.9106320232197938E-2</v>
      </c>
      <c r="N205" s="22">
        <f>-M205/(2*(L205+L206+L207+L208))</f>
        <v>2.1556907365128226E-2</v>
      </c>
      <c r="O205" s="6">
        <f>J205+N205-N200</f>
        <v>49.46411207409583</v>
      </c>
      <c r="P205" s="6">
        <f t="shared" si="105"/>
        <v>1.615415506622679</v>
      </c>
      <c r="Q205" s="6">
        <f t="shared" si="120"/>
        <v>3.265833427279221E-2</v>
      </c>
      <c r="R205" s="22">
        <f>P205+P206-P207-P208</f>
        <v>-1.9739590945139884E-2</v>
      </c>
      <c r="S205" s="22">
        <f>-R205/(2*(Q205+Q206+Q207+Q208))</f>
        <v>2.2263472378828614E-2</v>
      </c>
      <c r="T205" s="6">
        <f>O205+S205-S200</f>
        <v>49.403941429870038</v>
      </c>
      <c r="U205" s="6">
        <f t="shared" si="108"/>
        <v>1.6117780774386359</v>
      </c>
      <c r="V205" s="6">
        <f t="shared" si="121"/>
        <v>3.2624483609806514E-2</v>
      </c>
      <c r="W205" s="22">
        <f>U205+U206-U207-U208</f>
        <v>-1.527300495450401E-2</v>
      </c>
      <c r="X205" s="22">
        <f>-W205/(2*(V205+V206+V207+V208))</f>
        <v>1.7222911415782406E-2</v>
      </c>
    </row>
    <row r="206" spans="1:24" x14ac:dyDescent="0.25">
      <c r="A206" s="28"/>
      <c r="B206" s="5">
        <v>19</v>
      </c>
      <c r="C206" s="6">
        <v>791</v>
      </c>
      <c r="D206" s="5">
        <v>200</v>
      </c>
      <c r="E206" s="6">
        <v>18.290174609141637</v>
      </c>
      <c r="F206" s="6">
        <v>2.5583047965100461</v>
      </c>
      <c r="G206" s="6">
        <v>0.13987317514352085</v>
      </c>
      <c r="H206" s="23"/>
      <c r="I206" s="23"/>
      <c r="J206" s="6">
        <f>E206+I205</f>
        <v>18.319646827077271</v>
      </c>
      <c r="K206" s="6">
        <f t="shared" si="104"/>
        <v>2.5659446710784946</v>
      </c>
      <c r="L206" s="6">
        <f t="shared" si="119"/>
        <v>0.14006518222206726</v>
      </c>
      <c r="M206" s="23"/>
      <c r="N206" s="23"/>
      <c r="O206" s="6">
        <f>J206+N205</f>
        <v>18.341203734442399</v>
      </c>
      <c r="P206" s="6">
        <f t="shared" si="105"/>
        <v>2.571539351239946</v>
      </c>
      <c r="Q206" s="6">
        <f t="shared" si="120"/>
        <v>0.14020559328998289</v>
      </c>
      <c r="R206" s="23"/>
      <c r="S206" s="23"/>
      <c r="T206" s="6">
        <f>O206+S205</f>
        <v>18.363467206821227</v>
      </c>
      <c r="U206" s="6">
        <f t="shared" si="108"/>
        <v>2.5773232905219956</v>
      </c>
      <c r="V206" s="6">
        <f t="shared" si="121"/>
        <v>0.14035058093847508</v>
      </c>
      <c r="W206" s="23"/>
      <c r="X206" s="23"/>
    </row>
    <row r="207" spans="1:24" x14ac:dyDescent="0.25">
      <c r="A207" s="28"/>
      <c r="B207" s="5">
        <v>-16</v>
      </c>
      <c r="C207" s="6">
        <v>284</v>
      </c>
      <c r="D207" s="5">
        <v>200</v>
      </c>
      <c r="E207" s="6">
        <v>-24.75982539085836</v>
      </c>
      <c r="F207" s="6">
        <v>1.609485966882122</v>
      </c>
      <c r="G207" s="6">
        <v>6.500393041852244E-2</v>
      </c>
      <c r="H207" s="23"/>
      <c r="I207" s="23"/>
      <c r="J207" s="6">
        <f>E207+I205</f>
        <v>-24.730353172922726</v>
      </c>
      <c r="K207" s="6">
        <f t="shared" si="104"/>
        <v>1.6059396860141379</v>
      </c>
      <c r="L207" s="6">
        <f t="shared" si="119"/>
        <v>6.4938000471925411E-2</v>
      </c>
      <c r="M207" s="23"/>
      <c r="N207" s="23"/>
      <c r="O207" s="6">
        <f>J207+N205</f>
        <v>-24.708796265557599</v>
      </c>
      <c r="P207" s="6">
        <f t="shared" si="105"/>
        <v>1.6033481034808919</v>
      </c>
      <c r="Q207" s="6">
        <f t="shared" si="120"/>
        <v>6.488976987178656E-2</v>
      </c>
      <c r="R207" s="23"/>
      <c r="S207" s="23"/>
      <c r="T207" s="6">
        <f>O207+S205</f>
        <v>-24.68653279317877</v>
      </c>
      <c r="U207" s="6">
        <f t="shared" si="108"/>
        <v>1.6006735987025571</v>
      </c>
      <c r="V207" s="6">
        <f t="shared" si="121"/>
        <v>6.483995189250899E-2</v>
      </c>
      <c r="W207" s="23"/>
      <c r="X207" s="23"/>
    </row>
    <row r="208" spans="1:24" x14ac:dyDescent="0.25">
      <c r="A208" s="28"/>
      <c r="B208" s="16">
        <v>-11</v>
      </c>
      <c r="C208" s="17">
        <v>1590</v>
      </c>
      <c r="D208" s="16">
        <v>200</v>
      </c>
      <c r="E208" s="6">
        <v>-12.657021574088771</v>
      </c>
      <c r="F208" s="6">
        <v>2.6005394152558221</v>
      </c>
      <c r="G208" s="6">
        <v>0.2054621934578669</v>
      </c>
      <c r="H208" s="24"/>
      <c r="I208" s="24"/>
      <c r="J208" s="6">
        <f>E208+I205-I191</f>
        <v>-12.655896967056924</v>
      </c>
      <c r="K208" s="6">
        <f t="shared" si="104"/>
        <v>2.6001115005041591</v>
      </c>
      <c r="L208" s="6">
        <f t="shared" si="119"/>
        <v>0.2054466394023437</v>
      </c>
      <c r="M208" s="24"/>
      <c r="N208" s="24"/>
      <c r="O208" s="6">
        <f>J208+N205-N191</f>
        <v>-12.664396385321195</v>
      </c>
      <c r="P208" s="6">
        <f t="shared" si="105"/>
        <v>2.6033463453268735</v>
      </c>
      <c r="Q208" s="6">
        <f t="shared" si="120"/>
        <v>0.20556418688413053</v>
      </c>
      <c r="R208" s="24"/>
      <c r="S208" s="24"/>
      <c r="T208" s="6">
        <f>O208+S205-S191</f>
        <v>-12.665327336856782</v>
      </c>
      <c r="U208" s="6">
        <f t="shared" si="108"/>
        <v>2.6037007742125784</v>
      </c>
      <c r="V208" s="6">
        <f t="shared" si="121"/>
        <v>0.20557706129202594</v>
      </c>
      <c r="W208" s="24"/>
      <c r="X208" s="24"/>
    </row>
    <row r="211" spans="1:24" x14ac:dyDescent="0.25">
      <c r="A211" s="32" t="s">
        <v>0</v>
      </c>
      <c r="B211" s="33" t="s">
        <v>1</v>
      </c>
      <c r="C211" s="34" t="s">
        <v>2</v>
      </c>
      <c r="D211" s="34" t="s">
        <v>3</v>
      </c>
      <c r="E211" s="25" t="s">
        <v>33</v>
      </c>
      <c r="F211" s="25"/>
      <c r="G211" s="25"/>
      <c r="H211" s="26" t="s">
        <v>5</v>
      </c>
      <c r="I211" s="26" t="s">
        <v>6</v>
      </c>
      <c r="J211" s="25" t="s">
        <v>34</v>
      </c>
      <c r="K211" s="25"/>
      <c r="L211" s="25"/>
      <c r="M211" s="26" t="s">
        <v>5</v>
      </c>
      <c r="N211" s="26" t="s">
        <v>6</v>
      </c>
      <c r="O211" s="25" t="s">
        <v>35</v>
      </c>
      <c r="P211" s="25"/>
      <c r="Q211" s="25"/>
      <c r="R211" s="26" t="s">
        <v>5</v>
      </c>
      <c r="S211" s="26" t="s">
        <v>6</v>
      </c>
      <c r="T211" s="25" t="s">
        <v>36</v>
      </c>
      <c r="U211" s="25"/>
      <c r="V211" s="25"/>
      <c r="W211" s="26" t="s">
        <v>5</v>
      </c>
      <c r="X211" s="26" t="s">
        <v>6</v>
      </c>
    </row>
    <row r="212" spans="1:24" x14ac:dyDescent="0.25">
      <c r="A212" s="32"/>
      <c r="B212" s="33"/>
      <c r="C212" s="35"/>
      <c r="D212" s="35"/>
      <c r="E212" s="1" t="s">
        <v>7</v>
      </c>
      <c r="F212" s="1" t="s">
        <v>8</v>
      </c>
      <c r="G212" s="2" t="s">
        <v>9</v>
      </c>
      <c r="H212" s="27"/>
      <c r="I212" s="27"/>
      <c r="J212" s="1" t="s">
        <v>7</v>
      </c>
      <c r="K212" s="1" t="s">
        <v>8</v>
      </c>
      <c r="L212" s="2" t="s">
        <v>9</v>
      </c>
      <c r="M212" s="27"/>
      <c r="N212" s="27"/>
      <c r="O212" s="1" t="s">
        <v>7</v>
      </c>
      <c r="P212" s="1" t="s">
        <v>8</v>
      </c>
      <c r="Q212" s="2" t="s">
        <v>9</v>
      </c>
      <c r="R212" s="27"/>
      <c r="S212" s="27"/>
      <c r="T212" s="1" t="s">
        <v>7</v>
      </c>
      <c r="U212" s="1" t="s">
        <v>8</v>
      </c>
      <c r="V212" s="2" t="s">
        <v>9</v>
      </c>
      <c r="W212" s="27"/>
      <c r="X212" s="27"/>
    </row>
    <row r="213" spans="1:24" x14ac:dyDescent="0.25">
      <c r="A213" s="28">
        <v>1</v>
      </c>
      <c r="B213" s="5">
        <v>5</v>
      </c>
      <c r="C213" s="6">
        <v>847</v>
      </c>
      <c r="D213" s="6">
        <v>600</v>
      </c>
      <c r="E213" s="6">
        <v>254.86494949465688</v>
      </c>
      <c r="F213" s="6">
        <v>1.7097695151988899</v>
      </c>
      <c r="G213" s="6">
        <v>6.7085313951133728E-3</v>
      </c>
      <c r="H213" s="22">
        <f>F213+F214-F215-F216</f>
        <v>-7.812017593737508E-3</v>
      </c>
      <c r="I213" s="22">
        <f>-H213/(2*(G213+G214+G215+G216))</f>
        <v>7.9272235571019922E-2</v>
      </c>
      <c r="J213" s="6">
        <f>E213+I213</f>
        <v>254.94422173022789</v>
      </c>
      <c r="K213" s="6">
        <f>10.67*((ABS(J213)/1000)^1.852)*C213/((100^1.852)*(D213/1000)^4.87)</f>
        <v>1.7107545398173518</v>
      </c>
      <c r="L213" s="6">
        <f>ABS(K213/J213)</f>
        <v>6.7103091343156855E-3</v>
      </c>
      <c r="M213" s="22">
        <f>K213+K214-K215-K216</f>
        <v>-5.9953153700271766E-3</v>
      </c>
      <c r="N213" s="22">
        <f>-M213/(2*(L213+L214+L215+L216))</f>
        <v>6.0835461974474897E-2</v>
      </c>
      <c r="O213" s="6">
        <f>J213+N213</f>
        <v>255.00505719220237</v>
      </c>
      <c r="P213" s="6">
        <f>10.67*((ABS(O213)/1000)^1.852)*C213/((100^1.852)*(D213/1000)^4.87)</f>
        <v>1.7115106489180172</v>
      </c>
      <c r="Q213" s="6">
        <f>ABS(P213/O213)</f>
        <v>6.711673359591522E-3</v>
      </c>
      <c r="R213" s="22">
        <f>P213+P214-P215-P216</f>
        <v>-5.7364410066056415E-3</v>
      </c>
      <c r="S213" s="22">
        <f>-R213/(2*(Q213+Q214+Q215+Q216))</f>
        <v>5.820964307318429E-2</v>
      </c>
      <c r="T213" s="6">
        <f>O213+S213</f>
        <v>255.06326683527556</v>
      </c>
      <c r="U213" s="6">
        <f>10.67*((ABS(T213)/1000)^1.852)*C213/((100^1.852)*(D213/1000)^4.87)</f>
        <v>1.7122342662496706</v>
      </c>
      <c r="V213" s="6">
        <f>ABS(U213/T213)</f>
        <v>6.7129786562149787E-3</v>
      </c>
      <c r="W213" s="22">
        <f>U213+U214-U215-U216</f>
        <v>-4.5756480297656221E-3</v>
      </c>
      <c r="X213" s="22">
        <f>-W213/(2*(V213+V214+V215+V216))</f>
        <v>4.6429922404598721E-2</v>
      </c>
    </row>
    <row r="214" spans="1:24" x14ac:dyDescent="0.25">
      <c r="A214" s="28"/>
      <c r="B214" s="8">
        <v>9</v>
      </c>
      <c r="C214" s="9">
        <v>1121</v>
      </c>
      <c r="D214" s="9">
        <v>400</v>
      </c>
      <c r="E214" s="6">
        <v>77.09968329545994</v>
      </c>
      <c r="F214" s="6">
        <v>1.7805709291789071</v>
      </c>
      <c r="G214" s="6">
        <v>2.3094400042545402E-2</v>
      </c>
      <c r="H214" s="23"/>
      <c r="I214" s="23"/>
      <c r="J214" s="6">
        <f>E214+I213-I226</f>
        <v>77.103669255572569</v>
      </c>
      <c r="K214" s="6">
        <f t="shared" ref="K214:K238" si="122">10.67*((ABS(J214)/1000)^1.852)*C214/((100^1.852)*(D214/1000)^4.87)</f>
        <v>1.7807414157514516</v>
      </c>
      <c r="L214" s="6">
        <f>ABS(K214/J214)</f>
        <v>2.309541728615919E-2</v>
      </c>
      <c r="M214" s="23"/>
      <c r="N214" s="23"/>
      <c r="O214" s="6">
        <f>J214+N213-N226</f>
        <v>77.0910346148288</v>
      </c>
      <c r="P214" s="6">
        <f t="shared" ref="P214:P238" si="123">10.67*((ABS(O214)/1000)^1.852)*C214/((100^1.852)*(D214/1000)^4.87)</f>
        <v>1.7802010356165336</v>
      </c>
      <c r="Q214" s="6">
        <f>ABS(P214/O214)</f>
        <v>2.3092192814780359E-2</v>
      </c>
      <c r="R214" s="23"/>
      <c r="S214" s="23"/>
      <c r="T214" s="6">
        <f>O214+S213-S226</f>
        <v>77.091597461319992</v>
      </c>
      <c r="U214" s="6">
        <f>10.67*((ABS(T214)/1000)^1.852)*C214/((100^1.852)*(D214/1000)^4.87)</f>
        <v>1.7802251068015666</v>
      </c>
      <c r="V214" s="6">
        <f>ABS(U214/T214)</f>
        <v>2.3092336459816887E-2</v>
      </c>
      <c r="W214" s="23"/>
      <c r="X214" s="23"/>
    </row>
    <row r="215" spans="1:24" x14ac:dyDescent="0.25">
      <c r="A215" s="28"/>
      <c r="B215" s="3">
        <v>-6</v>
      </c>
      <c r="C215" s="4">
        <v>1075</v>
      </c>
      <c r="D215" s="4">
        <v>450</v>
      </c>
      <c r="E215" s="6">
        <v>-106.90552833984761</v>
      </c>
      <c r="F215" s="6">
        <v>1.7625288954263452</v>
      </c>
      <c r="G215" s="6">
        <v>1.6486789063175005E-2</v>
      </c>
      <c r="H215" s="23"/>
      <c r="I215" s="23"/>
      <c r="J215" s="6">
        <f>E215+I213-I217</f>
        <v>-106.89821868918771</v>
      </c>
      <c r="K215" s="6">
        <f t="shared" si="122"/>
        <v>1.7623057124651966</v>
      </c>
      <c r="L215" s="6">
        <f t="shared" ref="L215" si="124">ABS(K215/J215)</f>
        <v>1.6485828614124943E-2</v>
      </c>
      <c r="M215" s="23"/>
      <c r="N215" s="23"/>
      <c r="O215" s="6">
        <f>J215+N213-N217</f>
        <v>-106.90781352162499</v>
      </c>
      <c r="P215" s="6">
        <f t="shared" si="123"/>
        <v>1.762598670735716</v>
      </c>
      <c r="Q215" s="6">
        <f t="shared" ref="Q215" si="125">ABS(P215/O215)</f>
        <v>1.6487089321859369E-2</v>
      </c>
      <c r="R215" s="23"/>
      <c r="S215" s="23"/>
      <c r="T215" s="6">
        <f>O215+S213-S217</f>
        <v>-106.90481565761951</v>
      </c>
      <c r="U215" s="6">
        <f t="shared" ref="U215:U238" si="126">10.67*((ABS(T215)/1000)^1.852)*C215/((100^1.852)*(D215/1000)^4.87)</f>
        <v>1.7625071347815686</v>
      </c>
      <c r="V215" s="6">
        <f t="shared" ref="V215" si="127">ABS(U215/T215)</f>
        <v>1.6486695420964866E-2</v>
      </c>
      <c r="W215" s="23"/>
      <c r="X215" s="23"/>
    </row>
    <row r="216" spans="1:24" x14ac:dyDescent="0.25">
      <c r="A216" s="28"/>
      <c r="B216" s="5">
        <v>-2</v>
      </c>
      <c r="C216" s="6">
        <v>757</v>
      </c>
      <c r="D216" s="6">
        <v>800</v>
      </c>
      <c r="E216" s="6">
        <v>-581.71505050534324</v>
      </c>
      <c r="F216" s="6">
        <v>1.7356235665451893</v>
      </c>
      <c r="G216" s="6">
        <v>2.9836318744674581E-3</v>
      </c>
      <c r="H216" s="24"/>
      <c r="I216" s="24"/>
      <c r="J216" s="6">
        <f>E216+I213</f>
        <v>-581.63577826977223</v>
      </c>
      <c r="K216" s="6">
        <f t="shared" si="122"/>
        <v>1.7351855584736338</v>
      </c>
      <c r="L216" s="6">
        <f>ABS(K216/J216)</f>
        <v>2.9832854568118163E-3</v>
      </c>
      <c r="M216" s="24"/>
      <c r="N216" s="24"/>
      <c r="O216" s="6">
        <f>J216+N213</f>
        <v>-581.57494280779781</v>
      </c>
      <c r="P216" s="6">
        <f t="shared" si="123"/>
        <v>1.7348494548054405</v>
      </c>
      <c r="Q216" s="6">
        <f>ABS(P216/O216)</f>
        <v>2.9830196026495305E-3</v>
      </c>
      <c r="R216" s="24"/>
      <c r="S216" s="24"/>
      <c r="T216" s="6">
        <f>O216+S213</f>
        <v>-581.51673316472466</v>
      </c>
      <c r="U216" s="6">
        <f t="shared" si="126"/>
        <v>1.7345278862994342</v>
      </c>
      <c r="V216" s="6">
        <f>ABS(U216/T216)</f>
        <v>2.9827652196004811E-3</v>
      </c>
      <c r="W216" s="24"/>
      <c r="X216" s="24"/>
    </row>
    <row r="217" spans="1:24" x14ac:dyDescent="0.25">
      <c r="A217" s="28">
        <v>2</v>
      </c>
      <c r="B217" s="3">
        <v>6</v>
      </c>
      <c r="C217" s="4">
        <v>1075</v>
      </c>
      <c r="D217" s="4">
        <v>450</v>
      </c>
      <c r="E217" s="6">
        <v>106.90552833984759</v>
      </c>
      <c r="F217" s="6">
        <v>1.7625288954263452</v>
      </c>
      <c r="G217" s="6">
        <v>1.6486789063175009E-2</v>
      </c>
      <c r="H217" s="22">
        <f>F217+F218-F219-F220</f>
        <v>-1.3650863715939376E-2</v>
      </c>
      <c r="I217" s="22">
        <f>-H217/(2*(G217+G218+G219+G220))</f>
        <v>7.1962584911127697E-2</v>
      </c>
      <c r="J217" s="6">
        <f>E217+I217-I213</f>
        <v>106.8982186891877</v>
      </c>
      <c r="K217" s="6">
        <f t="shared" si="122"/>
        <v>1.7623057124651966</v>
      </c>
      <c r="L217" s="6">
        <f t="shared" ref="L217:L223" si="128">ABS(K217/J217)</f>
        <v>1.6485828614124946E-2</v>
      </c>
      <c r="M217" s="22">
        <f>K217+K218-K219-K220</f>
        <v>-1.3357584661818578E-2</v>
      </c>
      <c r="N217" s="22">
        <f>-M217/(2*(L217+L218+L219+L220))</f>
        <v>7.0430294411753969E-2</v>
      </c>
      <c r="O217" s="6">
        <f>J217+N217-N213</f>
        <v>106.90781352162497</v>
      </c>
      <c r="P217" s="6">
        <f t="shared" si="123"/>
        <v>1.762598670735716</v>
      </c>
      <c r="Q217" s="6">
        <f t="shared" ref="Q217:Q223" si="129">ABS(P217/O217)</f>
        <v>1.6487089321859372E-2</v>
      </c>
      <c r="R217" s="22">
        <f>P217+P218-P219-P220</f>
        <v>-1.0472067880162861E-2</v>
      </c>
      <c r="S217" s="22">
        <f>-R217/(2*(Q217+Q218+Q219+Q220))</f>
        <v>5.5211779067707842E-2</v>
      </c>
      <c r="T217" s="6">
        <f>O217+S217-S213</f>
        <v>106.90481565761949</v>
      </c>
      <c r="U217" s="6">
        <f t="shared" si="126"/>
        <v>1.7625071347815686</v>
      </c>
      <c r="V217" s="6">
        <f t="shared" ref="V217:V223" si="130">ABS(U217/T217)</f>
        <v>1.6486695420964866E-2</v>
      </c>
      <c r="W217" s="22">
        <f>U217+U218-U219-U220</f>
        <v>-9.8453598780352536E-3</v>
      </c>
      <c r="X217" s="22">
        <f>-W217/(2*(V217+V218+V219+V220))</f>
        <v>5.1913219842170386E-2</v>
      </c>
    </row>
    <row r="218" spans="1:24" x14ac:dyDescent="0.25">
      <c r="A218" s="28"/>
      <c r="B218" s="20">
        <v>10</v>
      </c>
      <c r="C218" s="21">
        <v>1300</v>
      </c>
      <c r="D218" s="21">
        <v>300</v>
      </c>
      <c r="E218" s="6">
        <v>40.220952057553241</v>
      </c>
      <c r="F218" s="6">
        <v>2.5117303124331252</v>
      </c>
      <c r="G218" s="6">
        <v>6.2448305769565643E-2</v>
      </c>
      <c r="H218" s="23"/>
      <c r="I218" s="23"/>
      <c r="J218" s="6">
        <f>E218+I217-I230</f>
        <v>40.210114709677789</v>
      </c>
      <c r="K218" s="6">
        <f t="shared" si="122"/>
        <v>2.5104770708296087</v>
      </c>
      <c r="L218" s="6">
        <f t="shared" si="128"/>
        <v>6.2433969386945967E-2</v>
      </c>
      <c r="M218" s="23"/>
      <c r="N218" s="23"/>
      <c r="O218" s="6">
        <f>J218+N217-N230</f>
        <v>40.217020625446345</v>
      </c>
      <c r="P218" s="6">
        <f t="shared" si="123"/>
        <v>2.5112756444862123</v>
      </c>
      <c r="Q218" s="6">
        <f t="shared" si="129"/>
        <v>6.2443105069231897E-2</v>
      </c>
      <c r="R218" s="23"/>
      <c r="S218" s="23"/>
      <c r="T218" s="6">
        <f>O218+S217-S230</f>
        <v>40.211445605498987</v>
      </c>
      <c r="U218" s="6">
        <f t="shared" si="126"/>
        <v>2.5106309614372204</v>
      </c>
      <c r="V218" s="6">
        <f t="shared" si="130"/>
        <v>6.2435730017472615E-2</v>
      </c>
      <c r="W218" s="23"/>
      <c r="X218" s="23"/>
    </row>
    <row r="219" spans="1:24" x14ac:dyDescent="0.25">
      <c r="A219" s="28"/>
      <c r="B219" s="12">
        <v>-7</v>
      </c>
      <c r="C219" s="13">
        <v>600</v>
      </c>
      <c r="D219" s="13">
        <v>500</v>
      </c>
      <c r="E219" s="6">
        <v>-173.51831670917355</v>
      </c>
      <c r="F219" s="6">
        <v>1.4441067314275224</v>
      </c>
      <c r="G219" s="6">
        <v>8.322503115610131E-3</v>
      </c>
      <c r="H219" s="23"/>
      <c r="I219" s="23"/>
      <c r="J219" s="6">
        <f>E219+I217-I221</f>
        <v>-173.4691117885709</v>
      </c>
      <c r="K219" s="6">
        <f t="shared" si="122"/>
        <v>1.4433484140353567</v>
      </c>
      <c r="L219" s="6">
        <f t="shared" si="128"/>
        <v>8.3204923294618056E-3</v>
      </c>
      <c r="M219" s="23"/>
      <c r="N219" s="23"/>
      <c r="O219" s="6">
        <f>J219+N217-N221</f>
        <v>-173.41691057334401</v>
      </c>
      <c r="P219" s="6">
        <f t="shared" si="123"/>
        <v>1.4425441198261273</v>
      </c>
      <c r="Q219" s="6">
        <f t="shared" si="129"/>
        <v>8.3183590058019483E-3</v>
      </c>
      <c r="R219" s="23"/>
      <c r="S219" s="23"/>
      <c r="T219" s="6">
        <f>O219+S217-S221</f>
        <v>-173.3787910813495</v>
      </c>
      <c r="U219" s="6">
        <f t="shared" si="126"/>
        <v>1.4419569211382779</v>
      </c>
      <c r="V219" s="6">
        <f t="shared" si="130"/>
        <v>8.31680110436178E-3</v>
      </c>
      <c r="W219" s="23"/>
      <c r="X219" s="23"/>
    </row>
    <row r="220" spans="1:24" x14ac:dyDescent="0.25">
      <c r="A220" s="28"/>
      <c r="B220" s="5">
        <v>-3</v>
      </c>
      <c r="C220" s="6">
        <v>690</v>
      </c>
      <c r="D220" s="6">
        <v>600</v>
      </c>
      <c r="E220" s="6">
        <v>-374.70952216549551</v>
      </c>
      <c r="F220" s="6">
        <v>2.8438033401478875</v>
      </c>
      <c r="G220" s="6">
        <v>7.5893543449688031E-3</v>
      </c>
      <c r="H220" s="24"/>
      <c r="I220" s="24"/>
      <c r="J220" s="6">
        <f>E220+I217</f>
        <v>-374.63755958058437</v>
      </c>
      <c r="K220" s="6">
        <f t="shared" si="122"/>
        <v>2.8427919539212674</v>
      </c>
      <c r="L220" s="6">
        <f t="shared" si="128"/>
        <v>7.5881125136087278E-3</v>
      </c>
      <c r="M220" s="24"/>
      <c r="N220" s="24"/>
      <c r="O220" s="6">
        <f>J220+N217</f>
        <v>-374.56712928617259</v>
      </c>
      <c r="P220" s="6">
        <f t="shared" si="123"/>
        <v>2.8418022632759632</v>
      </c>
      <c r="Q220" s="6">
        <f t="shared" si="129"/>
        <v>7.5868970902270528E-3</v>
      </c>
      <c r="R220" s="24"/>
      <c r="S220" s="24"/>
      <c r="T220" s="6">
        <f>O220+S217</f>
        <v>-374.5119175071049</v>
      </c>
      <c r="U220" s="6">
        <f t="shared" si="126"/>
        <v>2.8410265349585462</v>
      </c>
      <c r="V220" s="6">
        <f t="shared" si="130"/>
        <v>7.5859442707978684E-3</v>
      </c>
      <c r="W220" s="24"/>
      <c r="X220" s="24"/>
    </row>
    <row r="221" spans="1:24" x14ac:dyDescent="0.25">
      <c r="A221" s="28">
        <v>3</v>
      </c>
      <c r="B221" s="12">
        <v>7</v>
      </c>
      <c r="C221" s="13">
        <v>600</v>
      </c>
      <c r="D221" s="13">
        <v>500</v>
      </c>
      <c r="E221" s="6">
        <v>173.51831670917352</v>
      </c>
      <c r="F221" s="6">
        <v>1.4441067314275216</v>
      </c>
      <c r="G221" s="6">
        <v>8.3225031156101276E-3</v>
      </c>
      <c r="H221" s="22">
        <f>F221+F222+F223-F224-F225</f>
        <v>-1.1606286976283631E-2</v>
      </c>
      <c r="I221" s="22">
        <f>-H221/(2*(G221+G222+G223+G224+G225))</f>
        <v>2.2757664308468508E-2</v>
      </c>
      <c r="J221" s="6">
        <f>E221+I221-I217</f>
        <v>173.46911178857087</v>
      </c>
      <c r="K221" s="6">
        <f t="shared" si="122"/>
        <v>1.4433484140353567</v>
      </c>
      <c r="L221" s="6">
        <f t="shared" si="128"/>
        <v>8.3204923294618073E-3</v>
      </c>
      <c r="M221" s="22">
        <f>K221+K222+K223-K224-K225</f>
        <v>-9.2991828539448207E-3</v>
      </c>
      <c r="N221" s="22">
        <f>-M221/(2*(L221+L222+L223+L224+L225))</f>
        <v>1.8229079184865875E-2</v>
      </c>
      <c r="O221" s="6">
        <f>J221+N221-N217</f>
        <v>173.41691057334398</v>
      </c>
      <c r="P221" s="6">
        <f t="shared" si="123"/>
        <v>1.4425441198261266</v>
      </c>
      <c r="Q221" s="6">
        <f t="shared" si="129"/>
        <v>8.3183590058019466E-3</v>
      </c>
      <c r="R221" s="22">
        <f>P221+P222+P223-P224-P225</f>
        <v>-8.7197344669691645E-3</v>
      </c>
      <c r="S221" s="22">
        <f>-R221/(2*(Q221+Q222+Q223+Q224+Q225))</f>
        <v>1.7092287073207493E-2</v>
      </c>
      <c r="T221" s="6">
        <f>O221+S221-S217</f>
        <v>173.37879108134948</v>
      </c>
      <c r="U221" s="6">
        <f t="shared" si="126"/>
        <v>1.4419569211382779</v>
      </c>
      <c r="V221" s="6">
        <f t="shared" si="130"/>
        <v>8.3168011043617818E-3</v>
      </c>
      <c r="W221" s="22">
        <f>U221+U222+U223-U224-U225</f>
        <v>-7.1600102173006164E-3</v>
      </c>
      <c r="X221" s="22">
        <f>-W221/(2*(V221+V222+V223+V224+V225))</f>
        <v>1.4032501423972488E-2</v>
      </c>
    </row>
    <row r="222" spans="1:24" x14ac:dyDescent="0.25">
      <c r="A222" s="28"/>
      <c r="B222" s="18">
        <v>14</v>
      </c>
      <c r="C222" s="19">
        <v>460</v>
      </c>
      <c r="D222" s="19">
        <v>500</v>
      </c>
      <c r="E222" s="6">
        <v>131.85926876672679</v>
      </c>
      <c r="F222" s="6">
        <v>0.66586053883234186</v>
      </c>
      <c r="G222" s="6">
        <v>5.0497818246688494E-3</v>
      </c>
      <c r="H222" s="23"/>
      <c r="I222" s="23"/>
      <c r="J222" s="6">
        <f>E222+I221-I230</f>
        <v>131.79922649824869</v>
      </c>
      <c r="K222" s="6">
        <f t="shared" si="122"/>
        <v>0.66529912070012931</v>
      </c>
      <c r="L222" s="6">
        <f t="shared" si="128"/>
        <v>5.0478226494672911E-3</v>
      </c>
      <c r="M222" s="23"/>
      <c r="N222" s="23"/>
      <c r="O222" s="6">
        <f>J222+N221-N230</f>
        <v>131.75393119879035</v>
      </c>
      <c r="P222" s="6">
        <f t="shared" si="123"/>
        <v>0.66487573652841514</v>
      </c>
      <c r="Q222" s="6">
        <f t="shared" si="129"/>
        <v>5.0463445794664795E-3</v>
      </c>
      <c r="R222" s="23"/>
      <c r="S222" s="23"/>
      <c r="T222" s="6">
        <f>O222+S221-S230</f>
        <v>131.7102366868485</v>
      </c>
      <c r="U222" s="6">
        <f t="shared" si="126"/>
        <v>0.6644674327340534</v>
      </c>
      <c r="V222" s="6">
        <f t="shared" si="130"/>
        <v>5.0449186748777715E-3</v>
      </c>
      <c r="W222" s="23"/>
      <c r="X222" s="23"/>
    </row>
    <row r="223" spans="1:24" x14ac:dyDescent="0.25">
      <c r="A223" s="28"/>
      <c r="B223" s="16">
        <v>11</v>
      </c>
      <c r="C223" s="17">
        <v>1590</v>
      </c>
      <c r="D223" s="17">
        <v>200</v>
      </c>
      <c r="E223" s="6">
        <v>12.665327336856778</v>
      </c>
      <c r="F223" s="6">
        <v>2.6037007742125735</v>
      </c>
      <c r="G223" s="6">
        <v>0.2055770612920256</v>
      </c>
      <c r="H223" s="23"/>
      <c r="I223" s="23"/>
      <c r="J223" s="6">
        <f>E223+I221-I235</f>
        <v>12.670862089749464</v>
      </c>
      <c r="K223" s="6">
        <f t="shared" si="122"/>
        <v>2.6058084058629394</v>
      </c>
      <c r="L223" s="6">
        <f t="shared" si="128"/>
        <v>0.20565360015803494</v>
      </c>
      <c r="M223" s="23"/>
      <c r="N223" s="23"/>
      <c r="O223" s="6">
        <f>J223+N221-N235</f>
        <v>12.672412120355336</v>
      </c>
      <c r="P223" s="6">
        <f t="shared" si="123"/>
        <v>2.6063987975095539</v>
      </c>
      <c r="Q223" s="6">
        <f t="shared" si="129"/>
        <v>0.20567503429934775</v>
      </c>
      <c r="R223" s="23"/>
      <c r="S223" s="23"/>
      <c r="T223" s="6">
        <f>O223+S221-S235</f>
        <v>12.676125133170052</v>
      </c>
      <c r="U223" s="6">
        <f t="shared" si="126"/>
        <v>2.6078132983583595</v>
      </c>
      <c r="V223" s="6">
        <f t="shared" si="130"/>
        <v>0.20572637702466387</v>
      </c>
      <c r="W223" s="23"/>
      <c r="X223" s="23"/>
    </row>
    <row r="224" spans="1:24" x14ac:dyDescent="0.25">
      <c r="A224" s="28"/>
      <c r="B224" s="5">
        <v>-8</v>
      </c>
      <c r="C224" s="6">
        <v>284</v>
      </c>
      <c r="D224" s="6">
        <v>400</v>
      </c>
      <c r="E224" s="6">
        <v>-112.39120545632196</v>
      </c>
      <c r="F224" s="6">
        <v>0.90658154817631575</v>
      </c>
      <c r="G224" s="6">
        <v>8.0663032707540099E-3</v>
      </c>
      <c r="H224" s="23"/>
      <c r="I224" s="23"/>
      <c r="J224" s="6">
        <f>E224+I221</f>
        <v>-112.36844779201348</v>
      </c>
      <c r="K224" s="6">
        <f t="shared" si="122"/>
        <v>0.90624160545106425</v>
      </c>
      <c r="L224" s="6">
        <f>ABS(K224/J224)</f>
        <v>8.0649116656702161E-3</v>
      </c>
      <c r="M224" s="23"/>
      <c r="N224" s="23"/>
      <c r="O224" s="6">
        <f>J224+N221</f>
        <v>-112.35021871282862</v>
      </c>
      <c r="P224" s="6">
        <f t="shared" si="123"/>
        <v>0.9059693507959945</v>
      </c>
      <c r="Q224" s="6">
        <f>ABS(P224/O224)</f>
        <v>8.0637969482879792E-3</v>
      </c>
      <c r="R224" s="23"/>
      <c r="S224" s="23"/>
      <c r="T224" s="6">
        <f>O224+S221</f>
        <v>-112.33312642575541</v>
      </c>
      <c r="U224" s="6">
        <f t="shared" si="126"/>
        <v>0.90571410852691392</v>
      </c>
      <c r="V224" s="6">
        <f>ABS(U224/T224)</f>
        <v>8.0627517220000968E-3</v>
      </c>
      <c r="W224" s="23"/>
      <c r="X224" s="23"/>
    </row>
    <row r="225" spans="1:24" x14ac:dyDescent="0.25">
      <c r="A225" s="28"/>
      <c r="B225" s="5">
        <v>-4</v>
      </c>
      <c r="C225" s="6">
        <v>835</v>
      </c>
      <c r="D225" s="5">
        <v>400</v>
      </c>
      <c r="E225" s="6">
        <v>-136.47120545632202</v>
      </c>
      <c r="F225" s="6">
        <v>3.8186927832724042</v>
      </c>
      <c r="G225" s="6">
        <v>2.7981674013237812E-2</v>
      </c>
      <c r="H225" s="24"/>
      <c r="I225" s="24"/>
      <c r="J225" s="6">
        <f>E225+I221</f>
        <v>-136.44844779201355</v>
      </c>
      <c r="K225" s="6">
        <f t="shared" si="122"/>
        <v>3.8175135180013058</v>
      </c>
      <c r="L225" s="6">
        <f t="shared" ref="L225" si="131">ABS(K225/J225)</f>
        <v>2.7977698389213542E-2</v>
      </c>
      <c r="M225" s="24"/>
      <c r="N225" s="24"/>
      <c r="O225" s="6">
        <f>J225+N221</f>
        <v>-136.43021871282869</v>
      </c>
      <c r="P225" s="6">
        <f t="shared" si="123"/>
        <v>3.8165690375350696</v>
      </c>
      <c r="Q225" s="6">
        <f t="shared" ref="Q225" si="132">ABS(P225/O225)</f>
        <v>2.7974513810379117E-2</v>
      </c>
      <c r="R225" s="24"/>
      <c r="S225" s="24"/>
      <c r="T225" s="6">
        <f>O225+S221</f>
        <v>-136.41312642575548</v>
      </c>
      <c r="U225" s="6">
        <f t="shared" si="126"/>
        <v>3.8156835539210774</v>
      </c>
      <c r="V225" s="6">
        <f t="shared" ref="V225" si="133">ABS(U225/T225)</f>
        <v>2.7971527769344178E-2</v>
      </c>
      <c r="W225" s="24"/>
      <c r="X225" s="24"/>
    </row>
    <row r="226" spans="1:24" x14ac:dyDescent="0.25">
      <c r="A226" s="28">
        <v>4</v>
      </c>
      <c r="B226" s="5">
        <v>12</v>
      </c>
      <c r="C226" s="6">
        <v>385</v>
      </c>
      <c r="D226" s="5">
        <v>400</v>
      </c>
      <c r="E226" s="6">
        <v>106.10526619919688</v>
      </c>
      <c r="F226" s="6">
        <v>1.104734209484685</v>
      </c>
      <c r="G226" s="6">
        <v>1.0411681239371386E-2</v>
      </c>
      <c r="H226" s="22">
        <f>F226+F227-F228-F229</f>
        <v>-5.3533896531901437E-2</v>
      </c>
      <c r="I226" s="22">
        <f>-H226/(2*(G226+G227+G228+G229))</f>
        <v>7.5286275458401414E-2</v>
      </c>
      <c r="J226" s="6">
        <f>E226+I226</f>
        <v>106.18055247465527</v>
      </c>
      <c r="K226" s="6">
        <f t="shared" si="122"/>
        <v>1.1061863508805183</v>
      </c>
      <c r="L226" s="6">
        <f>ABS(K226/J226)</f>
        <v>1.0417975091479761E-2</v>
      </c>
      <c r="M226" s="22">
        <f>K226+K227-K228-K229</f>
        <v>-5.2290912285111624E-2</v>
      </c>
      <c r="N226" s="22">
        <f>-M226/(2*(L226+L227+L228+L229))</f>
        <v>7.3470102718249233E-2</v>
      </c>
      <c r="O226" s="6">
        <f>J226+N226</f>
        <v>106.25402257737352</v>
      </c>
      <c r="P226" s="6">
        <f t="shared" si="123"/>
        <v>1.1076043074710094</v>
      </c>
      <c r="Q226" s="6">
        <f>ABS(P226/O226)</f>
        <v>1.0424116476761704E-2</v>
      </c>
      <c r="R226" s="22">
        <f>P226+P227-P228-P229</f>
        <v>-4.0985940927311004E-2</v>
      </c>
      <c r="S226" s="22">
        <f>-R226/(2*(Q226+Q227+Q228+Q229))</f>
        <v>5.7646796581987708E-2</v>
      </c>
      <c r="T226" s="6">
        <f>O226+S226</f>
        <v>106.31166937395551</v>
      </c>
      <c r="U226" s="6">
        <f t="shared" si="126"/>
        <v>1.1087174628179473</v>
      </c>
      <c r="V226" s="6">
        <f>ABS(U226/T226)</f>
        <v>1.0428934747680328E-2</v>
      </c>
      <c r="W226" s="22">
        <f>U226+U227-U228-U229</f>
        <v>-3.8502016127718974E-2</v>
      </c>
      <c r="X226" s="22">
        <f>-W226/(2*(V226+V227+V228+V229))</f>
        <v>5.4130718208348978E-2</v>
      </c>
    </row>
    <row r="227" spans="1:24" x14ac:dyDescent="0.25">
      <c r="A227" s="28"/>
      <c r="B227" s="5">
        <v>17</v>
      </c>
      <c r="C227" s="6">
        <v>320</v>
      </c>
      <c r="D227" s="5">
        <v>300</v>
      </c>
      <c r="E227" s="6">
        <v>84.635266199196877</v>
      </c>
      <c r="F227" s="6">
        <v>2.4522176520287839</v>
      </c>
      <c r="G227" s="6">
        <v>2.8973946230136081E-2</v>
      </c>
      <c r="H227" s="23"/>
      <c r="I227" s="23"/>
      <c r="J227" s="6">
        <f>E227+I226</f>
        <v>84.710552474655273</v>
      </c>
      <c r="K227" s="6">
        <f t="shared" si="122"/>
        <v>2.4562590254326904</v>
      </c>
      <c r="L227" s="6">
        <f t="shared" ref="L227" si="134">ABS(K227/J227)</f>
        <v>2.8995903741361899E-2</v>
      </c>
      <c r="M227" s="23"/>
      <c r="N227" s="23"/>
      <c r="O227" s="6">
        <f>J227+N226</f>
        <v>84.78402257737352</v>
      </c>
      <c r="P227" s="6">
        <f t="shared" si="123"/>
        <v>2.46020585799261</v>
      </c>
      <c r="Q227" s="6">
        <f t="shared" ref="Q227" si="135">ABS(P227/O227)</f>
        <v>2.90173287749757E-2</v>
      </c>
      <c r="R227" s="23"/>
      <c r="S227" s="23"/>
      <c r="T227" s="6">
        <f>O227+S226</f>
        <v>84.841669373955511</v>
      </c>
      <c r="U227" s="6">
        <f t="shared" si="126"/>
        <v>2.4633046994795227</v>
      </c>
      <c r="V227" s="6">
        <f t="shared" ref="V227" si="136">ABS(U227/T227)</f>
        <v>2.9034137560660752E-2</v>
      </c>
      <c r="W227" s="23"/>
      <c r="X227" s="23"/>
    </row>
    <row r="228" spans="1:24" x14ac:dyDescent="0.25">
      <c r="A228" s="28"/>
      <c r="B228" s="10">
        <v>-13</v>
      </c>
      <c r="C228" s="11">
        <v>1020</v>
      </c>
      <c r="D228" s="10">
        <v>150</v>
      </c>
      <c r="E228" s="6">
        <v>-6.2442595777543382</v>
      </c>
      <c r="F228" s="6">
        <v>1.8299148288664615</v>
      </c>
      <c r="G228" s="6">
        <v>0.29305553462025757</v>
      </c>
      <c r="H228" s="23"/>
      <c r="I228" s="23"/>
      <c r="J228" s="6">
        <f>E228+I226-I230</f>
        <v>-6.2517732350825188</v>
      </c>
      <c r="K228" s="6">
        <f t="shared" si="122"/>
        <v>1.8339948728468669</v>
      </c>
      <c r="L228" s="6">
        <f>ABS(K228/J228)</f>
        <v>0.29335594940571441</v>
      </c>
      <c r="M228" s="23"/>
      <c r="N228" s="23"/>
      <c r="O228" s="6">
        <f>J228+N226-N230</f>
        <v>-6.2418275110074681</v>
      </c>
      <c r="P228" s="6">
        <f t="shared" si="123"/>
        <v>1.8285950707743952</v>
      </c>
      <c r="Q228" s="6">
        <f>ABS(P228/O228)</f>
        <v>0.29295828305887439</v>
      </c>
      <c r="R228" s="23"/>
      <c r="S228" s="23"/>
      <c r="T228" s="6">
        <f>O228+S226-S230</f>
        <v>-6.2449675134405442</v>
      </c>
      <c r="U228" s="6">
        <f t="shared" si="126"/>
        <v>1.8302990716236225</v>
      </c>
      <c r="V228" s="6">
        <f>ABS(U228/T228)</f>
        <v>0.29308384193903592</v>
      </c>
      <c r="W228" s="23"/>
      <c r="X228" s="23"/>
    </row>
    <row r="229" spans="1:24" x14ac:dyDescent="0.25">
      <c r="A229" s="28"/>
      <c r="B229" s="8">
        <v>-9</v>
      </c>
      <c r="C229" s="9">
        <v>1121</v>
      </c>
      <c r="D229" s="8">
        <v>400</v>
      </c>
      <c r="E229" s="6">
        <v>-77.099683295459968</v>
      </c>
      <c r="F229" s="6">
        <v>1.7805709291789091</v>
      </c>
      <c r="G229" s="6">
        <v>2.309440004254542E-2</v>
      </c>
      <c r="H229" s="24"/>
      <c r="I229" s="24"/>
      <c r="J229" s="6">
        <f>E229+I226-I213</f>
        <v>-77.103669255572598</v>
      </c>
      <c r="K229" s="6">
        <f t="shared" si="122"/>
        <v>1.7807414157514532</v>
      </c>
      <c r="L229" s="6">
        <f t="shared" ref="L229:L238" si="137">ABS(K229/J229)</f>
        <v>2.3095417286159201E-2</v>
      </c>
      <c r="M229" s="24"/>
      <c r="N229" s="24"/>
      <c r="O229" s="6">
        <f>J229+N226-N213</f>
        <v>-77.091034614828828</v>
      </c>
      <c r="P229" s="6">
        <f t="shared" si="123"/>
        <v>1.7802010356165352</v>
      </c>
      <c r="Q229" s="6">
        <f t="shared" ref="Q229:Q238" si="138">ABS(P229/O229)</f>
        <v>2.3092192814780373E-2</v>
      </c>
      <c r="R229" s="24"/>
      <c r="S229" s="24"/>
      <c r="T229" s="6">
        <f>O229+S226-S213</f>
        <v>-77.091597461320021</v>
      </c>
      <c r="U229" s="6">
        <f t="shared" si="126"/>
        <v>1.7802251068015666</v>
      </c>
      <c r="V229" s="6">
        <f t="shared" ref="V229:V238" si="139">ABS(U229/T229)</f>
        <v>2.3092336459816881E-2</v>
      </c>
      <c r="W229" s="24"/>
      <c r="X229" s="24"/>
    </row>
    <row r="230" spans="1:24" x14ac:dyDescent="0.25">
      <c r="A230" s="29">
        <v>5</v>
      </c>
      <c r="B230" s="10">
        <v>13</v>
      </c>
      <c r="C230" s="11">
        <v>1020</v>
      </c>
      <c r="D230" s="10">
        <v>150</v>
      </c>
      <c r="E230" s="6">
        <v>6.2442595777543444</v>
      </c>
      <c r="F230" s="6">
        <v>1.8299148288664644</v>
      </c>
      <c r="G230" s="6">
        <v>0.29305553462025774</v>
      </c>
      <c r="H230" s="22">
        <f>F230+F231-F232-F233-F234</f>
        <v>-7.2699537652110457E-2</v>
      </c>
      <c r="I230" s="22">
        <f>-H230/(2*(G230+G231+G232+G233+G234))</f>
        <v>8.2799932786581626E-2</v>
      </c>
      <c r="J230" s="6">
        <f>E230+I230-I226</f>
        <v>6.251773235082525</v>
      </c>
      <c r="K230" s="6">
        <f t="shared" si="122"/>
        <v>1.83399487284687</v>
      </c>
      <c r="L230" s="6">
        <f t="shared" si="137"/>
        <v>0.29335594940571463</v>
      </c>
      <c r="M230" s="22">
        <f>K230+K231-K232-K233-K234</f>
        <v>-5.5813251892606885E-2</v>
      </c>
      <c r="N230" s="22">
        <f>-M230/(2*(L230+L231+L232+L233+L234))</f>
        <v>6.3524378643198529E-2</v>
      </c>
      <c r="O230" s="6">
        <f>J230+N230-N226</f>
        <v>6.2418275110074743</v>
      </c>
      <c r="P230" s="6">
        <f t="shared" si="123"/>
        <v>1.8285950707743985</v>
      </c>
      <c r="Q230" s="6">
        <f t="shared" si="138"/>
        <v>0.29295828305887461</v>
      </c>
      <c r="R230" s="22">
        <f>P230+P231-P232-P233-P234</f>
        <v>-5.3362149007146975E-2</v>
      </c>
      <c r="S230" s="22">
        <f>-R230/(2*(Q230+Q231+Q232+Q233+Q234))</f>
        <v>6.0786799015064279E-2</v>
      </c>
      <c r="T230" s="6">
        <f>O230+S230-S226</f>
        <v>6.2449675134405505</v>
      </c>
      <c r="U230" s="6">
        <f t="shared" si="126"/>
        <v>1.8302990716236256</v>
      </c>
      <c r="V230" s="6">
        <f t="shared" si="139"/>
        <v>0.29308384193903608</v>
      </c>
      <c r="W230" s="22">
        <f>U230+U231-U232-U233-U234</f>
        <v>-4.2575857113099413E-2</v>
      </c>
      <c r="X230" s="22">
        <f>-W230/(2*(V230+V231+V232+V233+V234))</f>
        <v>4.848562412449034E-2</v>
      </c>
    </row>
    <row r="231" spans="1:24" x14ac:dyDescent="0.25">
      <c r="A231" s="30"/>
      <c r="B231" s="5">
        <v>18</v>
      </c>
      <c r="C231" s="6">
        <v>651</v>
      </c>
      <c r="D231" s="5">
        <v>300</v>
      </c>
      <c r="E231" s="6">
        <v>62.989525776951204</v>
      </c>
      <c r="F231" s="6">
        <v>2.8867545621855255</v>
      </c>
      <c r="G231" s="6">
        <v>4.5829120422459693E-2</v>
      </c>
      <c r="H231" s="23"/>
      <c r="I231" s="23"/>
      <c r="J231" s="6">
        <f>E231+I230</f>
        <v>63.072325709737783</v>
      </c>
      <c r="K231" s="6">
        <f t="shared" si="122"/>
        <v>2.8937861855476452</v>
      </c>
      <c r="L231" s="6">
        <f t="shared" si="137"/>
        <v>4.5880442063687396E-2</v>
      </c>
      <c r="M231" s="23"/>
      <c r="N231" s="23"/>
      <c r="O231" s="6">
        <f>J231+N230</f>
        <v>63.135850088380984</v>
      </c>
      <c r="P231" s="6">
        <f t="shared" si="123"/>
        <v>2.8991862045496242</v>
      </c>
      <c r="Q231" s="6">
        <f t="shared" si="138"/>
        <v>4.5919809434595185E-2</v>
      </c>
      <c r="R231" s="23"/>
      <c r="S231" s="23"/>
      <c r="T231" s="6">
        <f>O231+S230</f>
        <v>63.196636887396046</v>
      </c>
      <c r="U231" s="6">
        <f t="shared" si="126"/>
        <v>2.9043578460849786</v>
      </c>
      <c r="V231" s="6">
        <f t="shared" si="139"/>
        <v>4.5957474782399768E-2</v>
      </c>
      <c r="W231" s="23"/>
      <c r="X231" s="23"/>
    </row>
    <row r="232" spans="1:24" x14ac:dyDescent="0.25">
      <c r="A232" s="30"/>
      <c r="B232" s="14">
        <f>-15</f>
        <v>-15</v>
      </c>
      <c r="C232" s="15">
        <v>570</v>
      </c>
      <c r="D232" s="14">
        <v>300</v>
      </c>
      <c r="E232" s="6">
        <v>-49.403941429870024</v>
      </c>
      <c r="F232" s="6">
        <v>1.6117780774386359</v>
      </c>
      <c r="G232" s="6">
        <v>3.2624483609806521E-2</v>
      </c>
      <c r="H232" s="23"/>
      <c r="I232" s="23"/>
      <c r="J232" s="6">
        <f>E232+I230-I235</f>
        <v>-49.338364408499231</v>
      </c>
      <c r="K232" s="6">
        <f t="shared" si="122"/>
        <v>1.6078181187573839</v>
      </c>
      <c r="L232" s="6">
        <f t="shared" si="137"/>
        <v>3.2587584489939321E-2</v>
      </c>
      <c r="M232" s="23"/>
      <c r="N232" s="23"/>
      <c r="O232" s="6">
        <f>J232+N230-N235</f>
        <v>-49.291519078435023</v>
      </c>
      <c r="P232" s="6">
        <f t="shared" si="123"/>
        <v>1.6049920433165445</v>
      </c>
      <c r="Q232" s="6">
        <f t="shared" si="138"/>
        <v>3.2561220942746855E-2</v>
      </c>
      <c r="R232" s="23"/>
      <c r="S232" s="23"/>
      <c r="T232" s="6">
        <f>O232+S230-S235</f>
        <v>-49.244111553678451</v>
      </c>
      <c r="U232" s="6">
        <f t="shared" si="126"/>
        <v>1.6021343806504327</v>
      </c>
      <c r="V232" s="6">
        <f t="shared" si="139"/>
        <v>3.2534537228964502E-2</v>
      </c>
      <c r="W232" s="23"/>
      <c r="X232" s="23"/>
    </row>
    <row r="233" spans="1:24" x14ac:dyDescent="0.25">
      <c r="A233" s="30"/>
      <c r="B233" s="18">
        <v>-14</v>
      </c>
      <c r="C233" s="19">
        <v>460</v>
      </c>
      <c r="D233" s="18">
        <v>500</v>
      </c>
      <c r="E233" s="6">
        <v>-131.85926876672679</v>
      </c>
      <c r="F233" s="6">
        <v>0.66586053883234186</v>
      </c>
      <c r="G233" s="6">
        <v>5.0497818246688494E-3</v>
      </c>
      <c r="H233" s="23"/>
      <c r="I233" s="23"/>
      <c r="J233" s="6">
        <f>E233+I230-I221</f>
        <v>-131.79922649824869</v>
      </c>
      <c r="K233" s="6">
        <f t="shared" si="122"/>
        <v>0.66529912070012931</v>
      </c>
      <c r="L233" s="6">
        <f t="shared" si="137"/>
        <v>5.0478226494672911E-3</v>
      </c>
      <c r="M233" s="23"/>
      <c r="N233" s="23"/>
      <c r="O233" s="6">
        <f>J233+N230-N221</f>
        <v>-131.75393119879035</v>
      </c>
      <c r="P233" s="6">
        <f t="shared" si="123"/>
        <v>0.66487573652841514</v>
      </c>
      <c r="Q233" s="6">
        <f t="shared" si="138"/>
        <v>5.0463445794664795E-3</v>
      </c>
      <c r="R233" s="23"/>
      <c r="S233" s="23"/>
      <c r="T233" s="6">
        <f>O233+S230-S221</f>
        <v>-131.7102366868485</v>
      </c>
      <c r="U233" s="6">
        <f t="shared" si="126"/>
        <v>0.6644674327340534</v>
      </c>
      <c r="V233" s="6">
        <f t="shared" si="139"/>
        <v>5.0449186748777715E-3</v>
      </c>
      <c r="W233" s="23"/>
      <c r="X233" s="23"/>
    </row>
    <row r="234" spans="1:24" x14ac:dyDescent="0.25">
      <c r="A234" s="31"/>
      <c r="B234" s="20">
        <v>-10</v>
      </c>
      <c r="C234" s="21">
        <v>1300</v>
      </c>
      <c r="D234" s="20">
        <v>300</v>
      </c>
      <c r="E234" s="6">
        <v>-40.220952057553234</v>
      </c>
      <c r="F234" s="6">
        <v>2.5117303124331229</v>
      </c>
      <c r="G234" s="6">
        <v>6.2448305769565601E-2</v>
      </c>
      <c r="H234" s="24"/>
      <c r="I234" s="24"/>
      <c r="J234" s="6">
        <f>E234+I230-I217</f>
        <v>-40.210114709677782</v>
      </c>
      <c r="K234" s="6">
        <f t="shared" si="122"/>
        <v>2.5104770708296087</v>
      </c>
      <c r="L234" s="6">
        <f t="shared" si="137"/>
        <v>6.2433969386945974E-2</v>
      </c>
      <c r="M234" s="24"/>
      <c r="N234" s="24"/>
      <c r="O234" s="6">
        <f>J234+N230-N217</f>
        <v>-40.217020625446338</v>
      </c>
      <c r="P234" s="6">
        <f t="shared" si="123"/>
        <v>2.5112756444862101</v>
      </c>
      <c r="Q234" s="6">
        <f t="shared" si="138"/>
        <v>6.2443105069231848E-2</v>
      </c>
      <c r="R234" s="24"/>
      <c r="S234" s="24"/>
      <c r="T234" s="6">
        <f>O234+S230-S217</f>
        <v>-40.21144560549898</v>
      </c>
      <c r="U234" s="6">
        <f t="shared" si="126"/>
        <v>2.5106309614372182</v>
      </c>
      <c r="V234" s="6">
        <f t="shared" si="139"/>
        <v>6.2435730017472574E-2</v>
      </c>
      <c r="W234" s="24"/>
      <c r="X234" s="24"/>
    </row>
    <row r="235" spans="1:24" x14ac:dyDescent="0.25">
      <c r="A235" s="28">
        <v>6</v>
      </c>
      <c r="B235" s="14">
        <v>15</v>
      </c>
      <c r="C235" s="15">
        <v>570</v>
      </c>
      <c r="D235" s="14">
        <v>300</v>
      </c>
      <c r="E235" s="6">
        <v>49.403941429870038</v>
      </c>
      <c r="F235" s="6">
        <v>1.6117780774386359</v>
      </c>
      <c r="G235" s="6">
        <v>3.2624483609806514E-2</v>
      </c>
      <c r="H235" s="22">
        <f>F235+F236-F237-F238</f>
        <v>-1.527300495450401E-2</v>
      </c>
      <c r="I235" s="22">
        <f>-H235/(2*(G235+G236+G237+G238))</f>
        <v>1.7222911415782406E-2</v>
      </c>
      <c r="J235" s="6">
        <f>E235+I235-I230</f>
        <v>49.338364408499245</v>
      </c>
      <c r="K235" s="6">
        <f t="shared" si="122"/>
        <v>1.6078181187573855</v>
      </c>
      <c r="L235" s="6">
        <f t="shared" si="137"/>
        <v>3.2587584489939349E-2</v>
      </c>
      <c r="M235" s="22">
        <f>K235+K236-K237-K238</f>
        <v>-1.479449348300399E-2</v>
      </c>
      <c r="N235" s="22">
        <f>-M235/(2*(L235+L236+L237+L238))</f>
        <v>1.667904857899485E-2</v>
      </c>
      <c r="O235" s="6">
        <f>J235+N235-N230</f>
        <v>49.291519078435037</v>
      </c>
      <c r="P235" s="6">
        <f t="shared" si="123"/>
        <v>1.6049920433165461</v>
      </c>
      <c r="Q235" s="6">
        <f t="shared" si="138"/>
        <v>3.2561220942746875E-2</v>
      </c>
      <c r="R235" s="22">
        <f>P235+P236-P237-P238</f>
        <v>-1.1869333411821614E-2</v>
      </c>
      <c r="S235" s="22">
        <f>-R235/(2*(Q235+Q236+Q237+Q238))</f>
        <v>1.3379274258491652E-2</v>
      </c>
      <c r="T235" s="6">
        <f>O235+S235-S230</f>
        <v>49.244111553678465</v>
      </c>
      <c r="U235" s="6">
        <f t="shared" si="126"/>
        <v>1.6021343806504327</v>
      </c>
      <c r="V235" s="6">
        <f t="shared" si="139"/>
        <v>3.2534537228964495E-2</v>
      </c>
      <c r="W235" s="22">
        <f>U235+U236-U237-U238</f>
        <v>-1.1052903180575502E-2</v>
      </c>
      <c r="X235" s="22">
        <f>-W235/(2*(V235+V236+V237+V238))</f>
        <v>1.2456685656032697E-2</v>
      </c>
    </row>
    <row r="236" spans="1:24" x14ac:dyDescent="0.25">
      <c r="A236" s="28"/>
      <c r="B236" s="5">
        <v>19</v>
      </c>
      <c r="C236" s="6">
        <v>791</v>
      </c>
      <c r="D236" s="5">
        <v>200</v>
      </c>
      <c r="E236" s="6">
        <v>18.363467206821227</v>
      </c>
      <c r="F236" s="6">
        <v>2.5773232905219956</v>
      </c>
      <c r="G236" s="6">
        <v>0.14035058093847508</v>
      </c>
      <c r="H236" s="23"/>
      <c r="I236" s="23"/>
      <c r="J236" s="6">
        <f>E236+I235</f>
        <v>18.380690118237009</v>
      </c>
      <c r="K236" s="6">
        <f t="shared" si="122"/>
        <v>2.5818018179736941</v>
      </c>
      <c r="L236" s="6">
        <f t="shared" si="137"/>
        <v>0.14046272481423722</v>
      </c>
      <c r="M236" s="23"/>
      <c r="N236" s="23"/>
      <c r="O236" s="6">
        <f>J236+N235</f>
        <v>18.397369166816002</v>
      </c>
      <c r="P236" s="6">
        <f t="shared" si="123"/>
        <v>2.586142332226832</v>
      </c>
      <c r="Q236" s="6">
        <f t="shared" si="138"/>
        <v>0.14057131260330147</v>
      </c>
      <c r="R236" s="23"/>
      <c r="S236" s="23"/>
      <c r="T236" s="6">
        <f>O236+S235</f>
        <v>18.410748441074492</v>
      </c>
      <c r="U236" s="6">
        <f t="shared" si="126"/>
        <v>2.5896265457267007</v>
      </c>
      <c r="V236" s="6">
        <f t="shared" si="139"/>
        <v>0.14065840690915249</v>
      </c>
      <c r="W236" s="23"/>
      <c r="X236" s="23"/>
    </row>
    <row r="237" spans="1:24" x14ac:dyDescent="0.25">
      <c r="A237" s="28"/>
      <c r="B237" s="5">
        <v>-16</v>
      </c>
      <c r="C237" s="6">
        <v>284</v>
      </c>
      <c r="D237" s="5">
        <v>200</v>
      </c>
      <c r="E237" s="6">
        <v>-24.68653279317877</v>
      </c>
      <c r="F237" s="6">
        <v>1.6006735987025571</v>
      </c>
      <c r="G237" s="6">
        <v>6.483995189250899E-2</v>
      </c>
      <c r="H237" s="23"/>
      <c r="I237" s="23"/>
      <c r="J237" s="6">
        <f>E237+I235</f>
        <v>-24.669309881762988</v>
      </c>
      <c r="K237" s="6">
        <f t="shared" si="122"/>
        <v>1.59860602435114</v>
      </c>
      <c r="L237" s="6">
        <f t="shared" si="137"/>
        <v>6.4801408390144061E-2</v>
      </c>
      <c r="M237" s="23"/>
      <c r="N237" s="23"/>
      <c r="O237" s="6">
        <f>J237+N235</f>
        <v>-24.652630833183995</v>
      </c>
      <c r="P237" s="6">
        <f t="shared" si="123"/>
        <v>1.5966049114456451</v>
      </c>
      <c r="Q237" s="6">
        <f t="shared" si="138"/>
        <v>6.4764078213369186E-2</v>
      </c>
      <c r="R237" s="23"/>
      <c r="S237" s="23"/>
      <c r="T237" s="6">
        <f>O237+S235</f>
        <v>-24.639251558925505</v>
      </c>
      <c r="U237" s="6">
        <f t="shared" si="126"/>
        <v>1.5950005311993496</v>
      </c>
      <c r="V237" s="6">
        <f t="shared" si="139"/>
        <v>6.4734130717601479E-2</v>
      </c>
      <c r="W237" s="23"/>
      <c r="X237" s="23"/>
    </row>
    <row r="238" spans="1:24" x14ac:dyDescent="0.25">
      <c r="A238" s="28"/>
      <c r="B238" s="16">
        <v>-11</v>
      </c>
      <c r="C238" s="17">
        <v>1590</v>
      </c>
      <c r="D238" s="16">
        <v>200</v>
      </c>
      <c r="E238" s="6">
        <v>-12.665327336856782</v>
      </c>
      <c r="F238" s="6">
        <v>2.6037007742125784</v>
      </c>
      <c r="G238" s="6">
        <v>0.20557706129202594</v>
      </c>
      <c r="H238" s="24"/>
      <c r="I238" s="24"/>
      <c r="J238" s="6">
        <f>E238+I235-I221</f>
        <v>-12.670862089749468</v>
      </c>
      <c r="K238" s="6">
        <f t="shared" si="122"/>
        <v>2.6058084058629438</v>
      </c>
      <c r="L238" s="6">
        <f t="shared" si="137"/>
        <v>0.20565360015803524</v>
      </c>
      <c r="M238" s="24"/>
      <c r="N238" s="24"/>
      <c r="O238" s="6">
        <f>J238+N235-N221</f>
        <v>-12.672412120355339</v>
      </c>
      <c r="P238" s="6">
        <f t="shared" si="123"/>
        <v>2.6063987975095539</v>
      </c>
      <c r="Q238" s="6">
        <f t="shared" si="138"/>
        <v>0.20567503429934769</v>
      </c>
      <c r="R238" s="24"/>
      <c r="S238" s="24"/>
      <c r="T238" s="6">
        <f>O238+S235-S221</f>
        <v>-12.676125133170055</v>
      </c>
      <c r="U238" s="6">
        <f t="shared" si="126"/>
        <v>2.6078132983583595</v>
      </c>
      <c r="V238" s="6">
        <f t="shared" si="139"/>
        <v>0.20572637702466381</v>
      </c>
      <c r="W238" s="24"/>
      <c r="X238" s="24"/>
    </row>
    <row r="241" spans="1:24" x14ac:dyDescent="0.25">
      <c r="A241" s="32" t="s">
        <v>0</v>
      </c>
      <c r="B241" s="33" t="s">
        <v>1</v>
      </c>
      <c r="C241" s="34" t="s">
        <v>2</v>
      </c>
      <c r="D241" s="34" t="s">
        <v>3</v>
      </c>
      <c r="E241" s="25" t="s">
        <v>37</v>
      </c>
      <c r="F241" s="25"/>
      <c r="G241" s="25"/>
      <c r="H241" s="26" t="s">
        <v>5</v>
      </c>
      <c r="I241" s="26" t="s">
        <v>6</v>
      </c>
      <c r="J241" s="25" t="s">
        <v>38</v>
      </c>
      <c r="K241" s="25"/>
      <c r="L241" s="25"/>
      <c r="M241" s="26" t="s">
        <v>5</v>
      </c>
      <c r="N241" s="26" t="s">
        <v>6</v>
      </c>
      <c r="O241" s="25" t="s">
        <v>39</v>
      </c>
      <c r="P241" s="25"/>
      <c r="Q241" s="25"/>
      <c r="R241" s="26" t="s">
        <v>5</v>
      </c>
      <c r="S241" s="26" t="s">
        <v>6</v>
      </c>
      <c r="T241" s="25" t="s">
        <v>40</v>
      </c>
      <c r="U241" s="25"/>
      <c r="V241" s="25"/>
      <c r="W241" s="26" t="s">
        <v>5</v>
      </c>
      <c r="X241" s="26" t="s">
        <v>6</v>
      </c>
    </row>
    <row r="242" spans="1:24" x14ac:dyDescent="0.25">
      <c r="A242" s="32"/>
      <c r="B242" s="33"/>
      <c r="C242" s="35"/>
      <c r="D242" s="35"/>
      <c r="E242" s="1" t="s">
        <v>7</v>
      </c>
      <c r="F242" s="1" t="s">
        <v>8</v>
      </c>
      <c r="G242" s="2" t="s">
        <v>9</v>
      </c>
      <c r="H242" s="27"/>
      <c r="I242" s="27"/>
      <c r="J242" s="1" t="s">
        <v>7</v>
      </c>
      <c r="K242" s="1" t="s">
        <v>8</v>
      </c>
      <c r="L242" s="2" t="s">
        <v>9</v>
      </c>
      <c r="M242" s="27"/>
      <c r="N242" s="27"/>
      <c r="O242" s="1" t="s">
        <v>7</v>
      </c>
      <c r="P242" s="1" t="s">
        <v>8</v>
      </c>
      <c r="Q242" s="2" t="s">
        <v>9</v>
      </c>
      <c r="R242" s="27"/>
      <c r="S242" s="27"/>
      <c r="T242" s="1" t="s">
        <v>7</v>
      </c>
      <c r="U242" s="1" t="s">
        <v>8</v>
      </c>
      <c r="V242" s="2" t="s">
        <v>9</v>
      </c>
      <c r="W242" s="27"/>
      <c r="X242" s="27"/>
    </row>
    <row r="243" spans="1:24" x14ac:dyDescent="0.25">
      <c r="A243" s="28">
        <v>1</v>
      </c>
      <c r="B243" s="5">
        <v>5</v>
      </c>
      <c r="C243" s="6">
        <v>847</v>
      </c>
      <c r="D243" s="6">
        <v>600</v>
      </c>
      <c r="E243" s="6">
        <v>255.06326683527556</v>
      </c>
      <c r="F243" s="6">
        <v>1.7122342662496706</v>
      </c>
      <c r="G243" s="6">
        <v>6.7129786562149787E-3</v>
      </c>
      <c r="H243" s="22">
        <f>F243+F244-F245-F246</f>
        <v>-4.5756480297656221E-3</v>
      </c>
      <c r="I243" s="22">
        <f>-H243/(2*(G243+G244+G245+G246))</f>
        <v>4.6429922404598721E-2</v>
      </c>
      <c r="J243" s="6">
        <f>E243+I243</f>
        <v>255.10969675768015</v>
      </c>
      <c r="K243" s="6">
        <f>10.67*((ABS(J243)/1000)^1.852)*C243/((100^1.852)*(D243/1000)^4.87)</f>
        <v>1.7128115480723813</v>
      </c>
      <c r="L243" s="6">
        <f>ABS(K243/J243)</f>
        <v>6.7140197720485769E-3</v>
      </c>
      <c r="M243" s="22">
        <f>K243+K244-K245-K246</f>
        <v>-4.2386453966780646E-3</v>
      </c>
      <c r="N243" s="22">
        <f>-M243/(2*(L243+L244+L245+L246))</f>
        <v>4.3010651126173673E-2</v>
      </c>
      <c r="O243" s="6">
        <f>J243+N243</f>
        <v>255.15270740880632</v>
      </c>
      <c r="P243" s="6">
        <f>10.67*((ABS(O243)/1000)^1.852)*C243/((100^1.852)*(D243/1000)^4.87)</f>
        <v>1.7133463966018492</v>
      </c>
      <c r="Q243" s="6">
        <f>ABS(P243/O243)</f>
        <v>6.7149841912385478E-3</v>
      </c>
      <c r="R243" s="22">
        <f>P243+P244-P245-P246</f>
        <v>-3.470663724208789E-3</v>
      </c>
      <c r="S243" s="22">
        <f>-R243/(2*(Q243+Q244+Q245+Q246))</f>
        <v>3.5217425434840147E-2</v>
      </c>
      <c r="T243" s="6">
        <f>O243+S243</f>
        <v>255.18792483424116</v>
      </c>
      <c r="U243" s="6">
        <f>10.67*((ABS(T243)/1000)^1.852)*C243/((100^1.852)*(D243/1000)^4.87)</f>
        <v>1.7137843915644075</v>
      </c>
      <c r="V243" s="6">
        <f>ABS(U243/T243)</f>
        <v>6.7157738465783851E-3</v>
      </c>
      <c r="W243" s="22">
        <f>U243+U244-U245-U246</f>
        <v>-3.145283936256682E-3</v>
      </c>
      <c r="X243" s="22">
        <f>-W243/(2*(V243+V244+V245+V246))</f>
        <v>3.19158577768862E-2</v>
      </c>
    </row>
    <row r="244" spans="1:24" x14ac:dyDescent="0.25">
      <c r="A244" s="28"/>
      <c r="B244" s="8">
        <v>9</v>
      </c>
      <c r="C244" s="9">
        <v>1121</v>
      </c>
      <c r="D244" s="9">
        <v>400</v>
      </c>
      <c r="E244" s="6">
        <v>77.091597461319992</v>
      </c>
      <c r="F244" s="6">
        <v>1.7802251068015666</v>
      </c>
      <c r="G244" s="6">
        <v>2.3092336459816887E-2</v>
      </c>
      <c r="H244" s="23"/>
      <c r="I244" s="23"/>
      <c r="J244" s="6">
        <f>E244+I243-I256</f>
        <v>77.083896665516235</v>
      </c>
      <c r="K244" s="6">
        <f t="shared" ref="K244:K268" si="140">10.67*((ABS(J244)/1000)^1.852)*C244/((100^1.852)*(D244/1000)^4.87)</f>
        <v>1.7798957808272999</v>
      </c>
      <c r="L244" s="6">
        <f>ABS(K244/J244)</f>
        <v>2.3090371112797454E-2</v>
      </c>
      <c r="M244" s="23"/>
      <c r="N244" s="23"/>
      <c r="O244" s="6">
        <f>J244+N243-N256</f>
        <v>77.083083771482251</v>
      </c>
      <c r="P244" s="6">
        <f t="shared" ref="P244:P268" si="141">10.67*((ABS(O244)/1000)^1.852)*C244/((100^1.852)*(D244/1000)^4.87)</f>
        <v>1.7798610188973139</v>
      </c>
      <c r="Q244" s="6">
        <f>ABS(P244/O244)</f>
        <v>2.3090163649573569E-2</v>
      </c>
      <c r="R244" s="23"/>
      <c r="S244" s="23"/>
      <c r="T244" s="6">
        <f>O244+S243-S256</f>
        <v>77.078214887762556</v>
      </c>
      <c r="U244" s="6">
        <f>10.67*((ABS(T244)/1000)^1.852)*C244/((100^1.852)*(D244/1000)^4.87)</f>
        <v>1.7796528165076533</v>
      </c>
      <c r="V244" s="6">
        <f>ABS(U244/T244)</f>
        <v>2.3088921027803962E-2</v>
      </c>
      <c r="W244" s="23"/>
      <c r="X244" s="23"/>
    </row>
    <row r="245" spans="1:24" x14ac:dyDescent="0.25">
      <c r="A245" s="28"/>
      <c r="B245" s="3">
        <v>-6</v>
      </c>
      <c r="C245" s="4">
        <v>1075</v>
      </c>
      <c r="D245" s="4">
        <v>450</v>
      </c>
      <c r="E245" s="6">
        <v>-106.90481565761951</v>
      </c>
      <c r="F245" s="6">
        <v>1.7625071347815686</v>
      </c>
      <c r="G245" s="6">
        <v>1.6486695420964866E-2</v>
      </c>
      <c r="H245" s="23"/>
      <c r="I245" s="23"/>
      <c r="J245" s="6">
        <f>E245+I243-I247</f>
        <v>-106.91029895505709</v>
      </c>
      <c r="K245" s="6">
        <f t="shared" si="140"/>
        <v>1.762674561933993</v>
      </c>
      <c r="L245" s="6">
        <f t="shared" ref="L245" si="142">ABS(K245/J245)</f>
        <v>1.6487415891288316E-2</v>
      </c>
      <c r="M245" s="23"/>
      <c r="N245" s="23"/>
      <c r="O245" s="6">
        <f>J245+N243-N247</f>
        <v>-106.9093058384066</v>
      </c>
      <c r="P245" s="6">
        <f t="shared" si="141"/>
        <v>1.7626442375407352</v>
      </c>
      <c r="Q245" s="6">
        <f t="shared" ref="Q245" si="143">ABS(P245/O245)</f>
        <v>1.6487285402497814E-2</v>
      </c>
      <c r="R245" s="23"/>
      <c r="S245" s="23"/>
      <c r="T245" s="6">
        <f>O245+S243-S247</f>
        <v>-106.91254561851933</v>
      </c>
      <c r="U245" s="6">
        <f t="shared" ref="U245:U268" si="144">10.67*((ABS(T245)/1000)^1.852)*C245/((100^1.852)*(D245/1000)^4.87)</f>
        <v>1.7627431637299797</v>
      </c>
      <c r="V245" s="6">
        <f t="shared" ref="V245" si="145">ABS(U245/T245)</f>
        <v>1.6487711086963758E-2</v>
      </c>
      <c r="W245" s="23"/>
      <c r="X245" s="23"/>
    </row>
    <row r="246" spans="1:24" x14ac:dyDescent="0.25">
      <c r="A246" s="28"/>
      <c r="B246" s="5">
        <v>-2</v>
      </c>
      <c r="C246" s="6">
        <v>757</v>
      </c>
      <c r="D246" s="6">
        <v>800</v>
      </c>
      <c r="E246" s="6">
        <v>-581.51673316472466</v>
      </c>
      <c r="F246" s="6">
        <v>1.7345278862994342</v>
      </c>
      <c r="G246" s="6">
        <v>2.9827652196004811E-3</v>
      </c>
      <c r="H246" s="24"/>
      <c r="I246" s="24"/>
      <c r="J246" s="6">
        <f>E246+I243</f>
        <v>-581.47030324232003</v>
      </c>
      <c r="K246" s="6">
        <f t="shared" si="140"/>
        <v>1.7342714123623661</v>
      </c>
      <c r="L246" s="6">
        <f>ABS(K246/J246)</f>
        <v>2.9825623126270499E-3</v>
      </c>
      <c r="M246" s="24"/>
      <c r="N246" s="24"/>
      <c r="O246" s="6">
        <f>J246+N243</f>
        <v>-581.4272925911938</v>
      </c>
      <c r="P246" s="6">
        <f t="shared" si="141"/>
        <v>1.7340338416826366</v>
      </c>
      <c r="Q246" s="6">
        <f>ABS(P246/O246)</f>
        <v>2.9823743463343916E-3</v>
      </c>
      <c r="R246" s="24"/>
      <c r="S246" s="24"/>
      <c r="T246" s="6">
        <f>O246+S243</f>
        <v>-581.39207516575891</v>
      </c>
      <c r="U246" s="6">
        <f t="shared" si="144"/>
        <v>1.733839328278338</v>
      </c>
      <c r="V246" s="6">
        <f>ABS(U246/T246)</f>
        <v>2.9822204366717732E-3</v>
      </c>
      <c r="W246" s="24"/>
      <c r="X246" s="24"/>
    </row>
    <row r="247" spans="1:24" x14ac:dyDescent="0.25">
      <c r="A247" s="28">
        <v>2</v>
      </c>
      <c r="B247" s="3">
        <v>6</v>
      </c>
      <c r="C247" s="4">
        <v>1075</v>
      </c>
      <c r="D247" s="4">
        <v>450</v>
      </c>
      <c r="E247" s="6">
        <v>106.90481565761949</v>
      </c>
      <c r="F247" s="6">
        <v>1.7625071347815686</v>
      </c>
      <c r="G247" s="6">
        <v>1.6486695420964866E-2</v>
      </c>
      <c r="H247" s="22">
        <f>F247+F248-F249-F250</f>
        <v>-9.8453598780352536E-3</v>
      </c>
      <c r="I247" s="22">
        <f>-H247/(2*(G247+G248+G249+G250))</f>
        <v>5.1913219842170386E-2</v>
      </c>
      <c r="J247" s="6">
        <f>E247+I247-I243</f>
        <v>106.91029895505707</v>
      </c>
      <c r="K247" s="6">
        <f t="shared" si="140"/>
        <v>1.762674561933993</v>
      </c>
      <c r="L247" s="6">
        <f t="shared" ref="L247:L253" si="146">ABS(K247/J247)</f>
        <v>1.6487415891288319E-2</v>
      </c>
      <c r="M247" s="22">
        <f>K247+K248-K249-K250</f>
        <v>-7.9688759617022598E-3</v>
      </c>
      <c r="N247" s="22">
        <f>-M247/(2*(L247+L248+L249+L250))</f>
        <v>4.2017534475675807E-2</v>
      </c>
      <c r="O247" s="6">
        <f>J247+N247-N243</f>
        <v>106.90930583840658</v>
      </c>
      <c r="P247" s="6">
        <f t="shared" si="141"/>
        <v>1.7626442375407352</v>
      </c>
      <c r="Q247" s="6">
        <f t="shared" ref="Q247:Q253" si="147">ABS(P247/O247)</f>
        <v>1.6487285402497814E-2</v>
      </c>
      <c r="R247" s="22">
        <f>P247+P248-P249-P250</f>
        <v>-7.2931866027086123E-3</v>
      </c>
      <c r="S247" s="22">
        <f>-R247/(2*(Q247+Q248+Q249+Q250))</f>
        <v>3.8457205547574265E-2</v>
      </c>
      <c r="T247" s="6">
        <f>O247+S247-S243</f>
        <v>106.91254561851932</v>
      </c>
      <c r="U247" s="6">
        <f t="shared" si="144"/>
        <v>1.7627431637299797</v>
      </c>
      <c r="V247" s="6">
        <f t="shared" ref="V247:V253" si="148">ABS(U247/T247)</f>
        <v>1.6487711086963761E-2</v>
      </c>
      <c r="W247" s="22">
        <f>U247+U248-U249-U250</f>
        <v>-6.0318204052935975E-3</v>
      </c>
      <c r="X247" s="22">
        <f>-W247/(2*(V247+V248+V249+V250))</f>
        <v>3.1805695229053001E-2</v>
      </c>
    </row>
    <row r="248" spans="1:24" x14ac:dyDescent="0.25">
      <c r="A248" s="28"/>
      <c r="B248" s="20">
        <v>10</v>
      </c>
      <c r="C248" s="21">
        <v>1300</v>
      </c>
      <c r="D248" s="21">
        <v>300</v>
      </c>
      <c r="E248" s="6">
        <v>40.211445605498987</v>
      </c>
      <c r="F248" s="6">
        <v>2.5106309614372204</v>
      </c>
      <c r="G248" s="6">
        <v>6.2435730017472615E-2</v>
      </c>
      <c r="H248" s="23"/>
      <c r="I248" s="23"/>
      <c r="J248" s="6">
        <f>E248+I247-I260</f>
        <v>40.214873201216669</v>
      </c>
      <c r="K248" s="6">
        <f t="shared" si="140"/>
        <v>2.5110273120533302</v>
      </c>
      <c r="L248" s="6">
        <f t="shared" si="146"/>
        <v>6.2440264314382099E-2</v>
      </c>
      <c r="M248" s="23"/>
      <c r="N248" s="23"/>
      <c r="O248" s="6">
        <f>J248+N247-N260</f>
        <v>40.21198303704503</v>
      </c>
      <c r="P248" s="6">
        <f t="shared" si="141"/>
        <v>2.5106931055230857</v>
      </c>
      <c r="Q248" s="6">
        <f t="shared" si="147"/>
        <v>6.2436440978554227E-2</v>
      </c>
      <c r="R248" s="23"/>
      <c r="S248" s="23"/>
      <c r="T248" s="6">
        <f>O248+S247-S260</f>
        <v>40.213666029160898</v>
      </c>
      <c r="U248" s="6">
        <f t="shared" si="144"/>
        <v>2.5108877172230311</v>
      </c>
      <c r="V248" s="6">
        <f t="shared" si="148"/>
        <v>6.2438667377459782E-2</v>
      </c>
      <c r="W248" s="23"/>
      <c r="X248" s="23"/>
    </row>
    <row r="249" spans="1:24" x14ac:dyDescent="0.25">
      <c r="A249" s="28"/>
      <c r="B249" s="12">
        <v>-7</v>
      </c>
      <c r="C249" s="13">
        <v>600</v>
      </c>
      <c r="D249" s="13">
        <v>500</v>
      </c>
      <c r="E249" s="6">
        <v>-173.3787910813495</v>
      </c>
      <c r="F249" s="6">
        <v>1.4419569211382779</v>
      </c>
      <c r="G249" s="6">
        <v>8.31680110436178E-3</v>
      </c>
      <c r="H249" s="23"/>
      <c r="I249" s="23"/>
      <c r="J249" s="6">
        <f>E249+I247-I251</f>
        <v>-173.34091036293131</v>
      </c>
      <c r="K249" s="6">
        <f t="shared" si="140"/>
        <v>1.4413735095105698</v>
      </c>
      <c r="L249" s="6">
        <f t="shared" si="146"/>
        <v>8.3152529111143129E-3</v>
      </c>
      <c r="M249" s="23"/>
      <c r="N249" s="23"/>
      <c r="O249" s="6">
        <f>J249+N247-N251</f>
        <v>-173.3116867569637</v>
      </c>
      <c r="P249" s="6">
        <f t="shared" si="141"/>
        <v>1.4409235027310676</v>
      </c>
      <c r="Q249" s="6">
        <f t="shared" si="147"/>
        <v>8.3140585017309632E-3</v>
      </c>
      <c r="R249" s="23"/>
      <c r="S249" s="23"/>
      <c r="T249" s="6">
        <f>O249+S247-S251</f>
        <v>-173.28390945262146</v>
      </c>
      <c r="U249" s="6">
        <f t="shared" si="144"/>
        <v>1.4404958271026158</v>
      </c>
      <c r="V249" s="6">
        <f t="shared" si="148"/>
        <v>8.3129231770735761E-3</v>
      </c>
      <c r="W249" s="23"/>
      <c r="X249" s="23"/>
    </row>
    <row r="250" spans="1:24" x14ac:dyDescent="0.25">
      <c r="A250" s="28"/>
      <c r="B250" s="5">
        <v>-3</v>
      </c>
      <c r="C250" s="6">
        <v>690</v>
      </c>
      <c r="D250" s="6">
        <v>600</v>
      </c>
      <c r="E250" s="6">
        <v>-374.5119175071049</v>
      </c>
      <c r="F250" s="6">
        <v>2.8410265349585462</v>
      </c>
      <c r="G250" s="6">
        <v>7.5859442707978684E-3</v>
      </c>
      <c r="H250" s="24"/>
      <c r="I250" s="24"/>
      <c r="J250" s="6">
        <f>E250+I247</f>
        <v>-374.46000428726273</v>
      </c>
      <c r="K250" s="6">
        <f t="shared" si="140"/>
        <v>2.8402972404384559</v>
      </c>
      <c r="L250" s="6">
        <f t="shared" si="146"/>
        <v>7.5850483574196464E-3</v>
      </c>
      <c r="M250" s="24"/>
      <c r="N250" s="24"/>
      <c r="O250" s="6">
        <f>J250+N247</f>
        <v>-374.41798675278704</v>
      </c>
      <c r="P250" s="6">
        <f t="shared" si="141"/>
        <v>2.8397070269354616</v>
      </c>
      <c r="Q250" s="6">
        <f t="shared" si="147"/>
        <v>7.5843232093718953E-3</v>
      </c>
      <c r="R250" s="24"/>
      <c r="S250" s="24"/>
      <c r="T250" s="6">
        <f>O250+S247</f>
        <v>-374.37952954723949</v>
      </c>
      <c r="U250" s="6">
        <f t="shared" si="144"/>
        <v>2.8391668742556884</v>
      </c>
      <c r="V250" s="6">
        <f t="shared" si="148"/>
        <v>7.5836594957242182E-3</v>
      </c>
      <c r="W250" s="24"/>
      <c r="X250" s="24"/>
    </row>
    <row r="251" spans="1:24" x14ac:dyDescent="0.25">
      <c r="A251" s="28">
        <v>3</v>
      </c>
      <c r="B251" s="12">
        <v>7</v>
      </c>
      <c r="C251" s="13">
        <v>600</v>
      </c>
      <c r="D251" s="13">
        <v>500</v>
      </c>
      <c r="E251" s="6">
        <v>173.37879108134948</v>
      </c>
      <c r="F251" s="6">
        <v>1.4419569211382779</v>
      </c>
      <c r="G251" s="6">
        <v>8.3168011043617818E-3</v>
      </c>
      <c r="H251" s="22">
        <f>F251+F252+F253-F254-F255</f>
        <v>-7.1600102173006164E-3</v>
      </c>
      <c r="I251" s="22">
        <f>-H251/(2*(G251+G252+G253+G254+G255))</f>
        <v>1.4032501423972488E-2</v>
      </c>
      <c r="J251" s="6">
        <f>E251+I251-I247</f>
        <v>173.34091036293128</v>
      </c>
      <c r="K251" s="6">
        <f t="shared" si="140"/>
        <v>1.4413735095105698</v>
      </c>
      <c r="L251" s="6">
        <f t="shared" si="146"/>
        <v>8.3152529111143146E-3</v>
      </c>
      <c r="M251" s="22">
        <f>K251+K252+K253-K254-K255</f>
        <v>-6.5284393567464072E-3</v>
      </c>
      <c r="N251" s="22">
        <f>-M251/(2*(L251+L252+L253+L254+L255))</f>
        <v>1.2793928508064319E-2</v>
      </c>
      <c r="O251" s="6">
        <f>J251+N251-N247</f>
        <v>173.31168675696367</v>
      </c>
      <c r="P251" s="6">
        <f t="shared" si="141"/>
        <v>1.4409235027310672</v>
      </c>
      <c r="Q251" s="6">
        <f t="shared" si="147"/>
        <v>8.3140585017309615E-3</v>
      </c>
      <c r="R251" s="22">
        <f>P251+P252+P253-P254-P255</f>
        <v>-5.450343973044891E-3</v>
      </c>
      <c r="S251" s="22">
        <f>-R251/(2*(Q251+Q252+Q253+Q254+Q255))</f>
        <v>1.0679901205348074E-2</v>
      </c>
      <c r="T251" s="6">
        <f>O251+S251-S247</f>
        <v>173.28390945262143</v>
      </c>
      <c r="U251" s="6">
        <f t="shared" si="144"/>
        <v>1.4404958271026151</v>
      </c>
      <c r="V251" s="6">
        <f t="shared" si="148"/>
        <v>8.3129231770735727E-3</v>
      </c>
      <c r="W251" s="22">
        <f>U251+U252+U253-U254-U255</f>
        <v>-4.8816844782004765E-3</v>
      </c>
      <c r="X251" s="22">
        <f>-W251/(2*(V251+V252+V253+V254+V255))</f>
        <v>9.5650695599483627E-3</v>
      </c>
    </row>
    <row r="252" spans="1:24" x14ac:dyDescent="0.25">
      <c r="A252" s="28"/>
      <c r="B252" s="18">
        <v>14</v>
      </c>
      <c r="C252" s="19">
        <v>460</v>
      </c>
      <c r="D252" s="19">
        <v>500</v>
      </c>
      <c r="E252" s="6">
        <v>131.7102366868485</v>
      </c>
      <c r="F252" s="6">
        <v>0.6644674327340534</v>
      </c>
      <c r="G252" s="6">
        <v>5.0449186748777715E-3</v>
      </c>
      <c r="H252" s="23"/>
      <c r="I252" s="23"/>
      <c r="J252" s="6">
        <f>E252+I251-I260</f>
        <v>131.67578356414799</v>
      </c>
      <c r="K252" s="6">
        <f t="shared" si="140"/>
        <v>0.66414556655510104</v>
      </c>
      <c r="L252" s="6">
        <f t="shared" si="146"/>
        <v>5.0437942997434435E-3</v>
      </c>
      <c r="M252" s="23"/>
      <c r="N252" s="23"/>
      <c r="O252" s="6">
        <f>J252+N251-N260</f>
        <v>131.64366979400876</v>
      </c>
      <c r="P252" s="6">
        <f t="shared" si="141"/>
        <v>0.66384561955730292</v>
      </c>
      <c r="Q252" s="6">
        <f t="shared" si="147"/>
        <v>5.042746230001522E-3</v>
      </c>
      <c r="R252" s="23"/>
      <c r="S252" s="23"/>
      <c r="T252" s="6">
        <f>O252+S251-S260</f>
        <v>131.61757548178241</v>
      </c>
      <c r="U252" s="6">
        <f t="shared" si="144"/>
        <v>0.66360194102179426</v>
      </c>
      <c r="V252" s="6">
        <f t="shared" si="148"/>
        <v>5.04189458431139E-3</v>
      </c>
      <c r="W252" s="23"/>
      <c r="X252" s="23"/>
    </row>
    <row r="253" spans="1:24" x14ac:dyDescent="0.25">
      <c r="A253" s="28"/>
      <c r="B253" s="16">
        <v>11</v>
      </c>
      <c r="C253" s="17">
        <v>1590</v>
      </c>
      <c r="D253" s="17">
        <v>200</v>
      </c>
      <c r="E253" s="6">
        <v>12.676125133170052</v>
      </c>
      <c r="F253" s="6">
        <v>2.6078132983583595</v>
      </c>
      <c r="G253" s="6">
        <v>0.20572637702466387</v>
      </c>
      <c r="H253" s="23"/>
      <c r="I253" s="23"/>
      <c r="J253" s="6">
        <f>E253+I251-I265</f>
        <v>12.677700948937991</v>
      </c>
      <c r="K253" s="6">
        <f t="shared" si="140"/>
        <v>2.6084137242346221</v>
      </c>
      <c r="L253" s="6">
        <f t="shared" si="146"/>
        <v>0.20574816638604562</v>
      </c>
      <c r="M253" s="23"/>
      <c r="N253" s="23"/>
      <c r="O253" s="6">
        <f>J253+N251-N265</f>
        <v>12.680257783564901</v>
      </c>
      <c r="P253" s="6">
        <f t="shared" si="141"/>
        <v>2.6093880785338941</v>
      </c>
      <c r="Q253" s="6">
        <f t="shared" si="147"/>
        <v>0.20578351978900356</v>
      </c>
      <c r="R253" s="23"/>
      <c r="S253" s="23"/>
      <c r="T253" s="6">
        <f>O253+S251-S265</f>
        <v>12.681641660430472</v>
      </c>
      <c r="U253" s="6">
        <f t="shared" si="144"/>
        <v>2.6099155138591392</v>
      </c>
      <c r="V253" s="6">
        <f t="shared" si="148"/>
        <v>0.2058026542417338</v>
      </c>
      <c r="W253" s="23"/>
      <c r="X253" s="23"/>
    </row>
    <row r="254" spans="1:24" x14ac:dyDescent="0.25">
      <c r="A254" s="28"/>
      <c r="B254" s="5">
        <v>-8</v>
      </c>
      <c r="C254" s="6">
        <v>284</v>
      </c>
      <c r="D254" s="6">
        <v>400</v>
      </c>
      <c r="E254" s="6">
        <v>-112.33312642575541</v>
      </c>
      <c r="F254" s="6">
        <v>0.90571410852691392</v>
      </c>
      <c r="G254" s="6">
        <v>8.0627517220000968E-3</v>
      </c>
      <c r="H254" s="23"/>
      <c r="I254" s="23"/>
      <c r="J254" s="6">
        <f>E254+I251</f>
        <v>-112.31909392433144</v>
      </c>
      <c r="K254" s="6">
        <f t="shared" si="140"/>
        <v>0.90550458333259243</v>
      </c>
      <c r="L254" s="6">
        <f>ABS(K254/J254)</f>
        <v>8.0618935899057758E-3</v>
      </c>
      <c r="M254" s="23"/>
      <c r="N254" s="23"/>
      <c r="O254" s="6">
        <f>J254+N251</f>
        <v>-112.30629999582338</v>
      </c>
      <c r="P254" s="6">
        <f t="shared" si="141"/>
        <v>0.90531357122833278</v>
      </c>
      <c r="Q254" s="6">
        <f>ABS(P254/O254)</f>
        <v>8.0611111866565003E-3</v>
      </c>
      <c r="R254" s="23"/>
      <c r="S254" s="23"/>
      <c r="T254" s="6">
        <f>O254+S251</f>
        <v>-112.29562009461803</v>
      </c>
      <c r="U254" s="6">
        <f t="shared" si="144"/>
        <v>0.90515413554228319</v>
      </c>
      <c r="V254" s="6">
        <f>ABS(U254/T254)</f>
        <v>8.0604580550837027E-3</v>
      </c>
      <c r="W254" s="23"/>
      <c r="X254" s="23"/>
    </row>
    <row r="255" spans="1:24" x14ac:dyDescent="0.25">
      <c r="A255" s="28"/>
      <c r="B255" s="5">
        <v>-4</v>
      </c>
      <c r="C255" s="6">
        <v>835</v>
      </c>
      <c r="D255" s="5">
        <v>400</v>
      </c>
      <c r="E255" s="6">
        <v>-136.41312642575548</v>
      </c>
      <c r="F255" s="6">
        <v>3.8156835539210774</v>
      </c>
      <c r="G255" s="6">
        <v>2.7971527769344178E-2</v>
      </c>
      <c r="H255" s="24"/>
      <c r="I255" s="24"/>
      <c r="J255" s="6">
        <f>E255+I251</f>
        <v>-136.39909392433151</v>
      </c>
      <c r="K255" s="6">
        <f t="shared" si="140"/>
        <v>3.8149566563244472</v>
      </c>
      <c r="L255" s="6">
        <f t="shared" ref="L255" si="149">ABS(K255/J255)</f>
        <v>2.7969076234779278E-2</v>
      </c>
      <c r="M255" s="24"/>
      <c r="N255" s="24"/>
      <c r="O255" s="6">
        <f>J255+N251</f>
        <v>-136.38629999582344</v>
      </c>
      <c r="P255" s="6">
        <f t="shared" si="141"/>
        <v>3.8142939735669761</v>
      </c>
      <c r="Q255" s="6">
        <f t="shared" ref="Q255" si="150">ABS(P255/O255)</f>
        <v>2.7966841051364995E-2</v>
      </c>
      <c r="R255" s="24"/>
      <c r="S255" s="24"/>
      <c r="T255" s="6">
        <f>O255+S251</f>
        <v>-136.37562009461809</v>
      </c>
      <c r="U255" s="6">
        <f t="shared" si="144"/>
        <v>3.8137408309194663</v>
      </c>
      <c r="V255" s="6">
        <f t="shared" ref="V255" si="151">ABS(U255/T255)</f>
        <v>2.7964975178653442E-2</v>
      </c>
      <c r="W255" s="24"/>
      <c r="X255" s="24"/>
    </row>
    <row r="256" spans="1:24" x14ac:dyDescent="0.25">
      <c r="A256" s="28">
        <v>4</v>
      </c>
      <c r="B256" s="5">
        <v>12</v>
      </c>
      <c r="C256" s="6">
        <v>385</v>
      </c>
      <c r="D256" s="5">
        <v>400</v>
      </c>
      <c r="E256" s="6">
        <v>106.31166937395551</v>
      </c>
      <c r="F256" s="6">
        <v>1.1087174628179473</v>
      </c>
      <c r="G256" s="6">
        <v>1.0428934747680328E-2</v>
      </c>
      <c r="H256" s="22">
        <f>F256+F257-F258-F259</f>
        <v>-3.8502016127718974E-2</v>
      </c>
      <c r="I256" s="22">
        <f>-H256/(2*(G256+G257+G258+G259))</f>
        <v>5.4130718208348978E-2</v>
      </c>
      <c r="J256" s="6">
        <f>E256+I256</f>
        <v>106.36580009216387</v>
      </c>
      <c r="K256" s="6">
        <f t="shared" si="140"/>
        <v>1.1097631912366253</v>
      </c>
      <c r="L256" s="6">
        <f>ABS(K256/J256)</f>
        <v>1.0433458783509712E-2</v>
      </c>
      <c r="M256" s="22">
        <f>K256+K257-K258-K259</f>
        <v>-3.1152567902239747E-2</v>
      </c>
      <c r="N256" s="22">
        <f>-M256/(2*(L256+L257+L258+L259))</f>
        <v>4.3823545160146214E-2</v>
      </c>
      <c r="O256" s="6">
        <f>J256+N256</f>
        <v>106.40962363732402</v>
      </c>
      <c r="P256" s="6">
        <f t="shared" si="141"/>
        <v>1.1106101319524408</v>
      </c>
      <c r="Q256" s="6">
        <f>ABS(P256/O256)</f>
        <v>1.0437121136127067E-2</v>
      </c>
      <c r="R256" s="22">
        <f>P256+P257-P258-P259</f>
        <v>-2.850067963650571E-2</v>
      </c>
      <c r="S256" s="22">
        <f>-R256/(2*(Q256+Q257+Q258+Q259))</f>
        <v>4.0086309154534011E-2</v>
      </c>
      <c r="T256" s="6">
        <f>O256+S256</f>
        <v>106.44970994647855</v>
      </c>
      <c r="U256" s="6">
        <f t="shared" si="144"/>
        <v>1.1113851065499407</v>
      </c>
      <c r="V256" s="6">
        <f>ABS(U256/T256)</f>
        <v>1.0440470970834302E-2</v>
      </c>
      <c r="W256" s="22">
        <f>U256+U257-U258-U259</f>
        <v>-2.3563207187857982E-2</v>
      </c>
      <c r="X256" s="22">
        <f>-W256/(2*(V256+V257+V258+V259))</f>
        <v>3.3152802602445068E-2</v>
      </c>
    </row>
    <row r="257" spans="1:24" x14ac:dyDescent="0.25">
      <c r="A257" s="28"/>
      <c r="B257" s="5">
        <v>17</v>
      </c>
      <c r="C257" s="6">
        <v>320</v>
      </c>
      <c r="D257" s="5">
        <v>300</v>
      </c>
      <c r="E257" s="6">
        <v>84.841669373955511</v>
      </c>
      <c r="F257" s="6">
        <v>2.4633046994795227</v>
      </c>
      <c r="G257" s="6">
        <v>2.9034137560660752E-2</v>
      </c>
      <c r="H257" s="23"/>
      <c r="I257" s="23"/>
      <c r="J257" s="6">
        <f>E257+I256</f>
        <v>84.895800092163867</v>
      </c>
      <c r="K257" s="6">
        <f t="shared" si="140"/>
        <v>2.4662161654735373</v>
      </c>
      <c r="L257" s="6">
        <f t="shared" ref="L257" si="152">ABS(K257/J257)</f>
        <v>2.9049919581371333E-2</v>
      </c>
      <c r="M257" s="23"/>
      <c r="N257" s="23"/>
      <c r="O257" s="6">
        <f>J257+N256</f>
        <v>84.939623637324019</v>
      </c>
      <c r="P257" s="6">
        <f t="shared" si="141"/>
        <v>2.4685744104280327</v>
      </c>
      <c r="Q257" s="6">
        <f t="shared" ref="Q257" si="153">ABS(P257/O257)</f>
        <v>2.9062695414902875E-2</v>
      </c>
      <c r="R257" s="23"/>
      <c r="S257" s="23"/>
      <c r="T257" s="6">
        <f>O257+S256</f>
        <v>84.97970994647855</v>
      </c>
      <c r="U257" s="6">
        <f t="shared" si="144"/>
        <v>2.4707324541866211</v>
      </c>
      <c r="V257" s="6">
        <f t="shared" ref="V257" si="154">ABS(U257/T257)</f>
        <v>2.9074380881538946E-2</v>
      </c>
      <c r="W257" s="23"/>
      <c r="X257" s="23"/>
    </row>
    <row r="258" spans="1:24" x14ac:dyDescent="0.25">
      <c r="A258" s="28"/>
      <c r="B258" s="10">
        <v>-13</v>
      </c>
      <c r="C258" s="11">
        <v>1020</v>
      </c>
      <c r="D258" s="10">
        <v>150</v>
      </c>
      <c r="E258" s="6">
        <v>-6.2449675134405442</v>
      </c>
      <c r="F258" s="6">
        <v>1.8302990716236225</v>
      </c>
      <c r="G258" s="6">
        <v>0.29308384193903592</v>
      </c>
      <c r="H258" s="23"/>
      <c r="I258" s="23"/>
      <c r="J258" s="6">
        <f>E258+I256-I260</f>
        <v>-6.2393224193566859</v>
      </c>
      <c r="K258" s="6">
        <f t="shared" si="140"/>
        <v>1.8272361437851012</v>
      </c>
      <c r="L258" s="6">
        <f>ABS(K258/J258)</f>
        <v>0.29285810557190295</v>
      </c>
      <c r="M258" s="23"/>
      <c r="N258" s="23"/>
      <c r="O258" s="6">
        <f>J258+N256-N260</f>
        <v>-6.2404065728438569</v>
      </c>
      <c r="P258" s="6">
        <f t="shared" si="141"/>
        <v>1.8278242031196641</v>
      </c>
      <c r="Q258" s="6">
        <f>ABS(P258/O258)</f>
        <v>0.2929014611121234</v>
      </c>
      <c r="R258" s="23"/>
      <c r="S258" s="23"/>
      <c r="T258" s="6">
        <f>O258+S256-S260</f>
        <v>-6.2370944771210279</v>
      </c>
      <c r="U258" s="6">
        <f t="shared" si="144"/>
        <v>1.8260279514167665</v>
      </c>
      <c r="V258" s="6">
        <f>ABS(U258/T258)</f>
        <v>0.29276900616385088</v>
      </c>
      <c r="W258" s="23"/>
      <c r="X258" s="23"/>
    </row>
    <row r="259" spans="1:24" x14ac:dyDescent="0.25">
      <c r="A259" s="28"/>
      <c r="B259" s="8">
        <v>-9</v>
      </c>
      <c r="C259" s="9">
        <v>1121</v>
      </c>
      <c r="D259" s="8">
        <v>400</v>
      </c>
      <c r="E259" s="6">
        <v>-77.091597461320021</v>
      </c>
      <c r="F259" s="6">
        <v>1.7802251068015666</v>
      </c>
      <c r="G259" s="6">
        <v>2.3092336459816881E-2</v>
      </c>
      <c r="H259" s="24"/>
      <c r="I259" s="24"/>
      <c r="J259" s="6">
        <f>E259+I256-I243</f>
        <v>-77.083896665516264</v>
      </c>
      <c r="K259" s="6">
        <f t="shared" si="140"/>
        <v>1.779895780827301</v>
      </c>
      <c r="L259" s="6">
        <f t="shared" ref="L259:L268" si="155">ABS(K259/J259)</f>
        <v>2.3090371112797457E-2</v>
      </c>
      <c r="M259" s="24"/>
      <c r="N259" s="24"/>
      <c r="O259" s="6">
        <f>J259+N256-N243</f>
        <v>-77.083083771482279</v>
      </c>
      <c r="P259" s="6">
        <f t="shared" si="141"/>
        <v>1.7798610188973152</v>
      </c>
      <c r="Q259" s="6">
        <f t="shared" ref="Q259:Q268" si="156">ABS(P259/O259)</f>
        <v>2.3090163649573579E-2</v>
      </c>
      <c r="R259" s="24"/>
      <c r="S259" s="24"/>
      <c r="T259" s="6">
        <f>O259+S256-S243</f>
        <v>-77.078214887762584</v>
      </c>
      <c r="U259" s="6">
        <f t="shared" si="144"/>
        <v>1.7796528165076533</v>
      </c>
      <c r="V259" s="6">
        <f t="shared" ref="V259:V268" si="157">ABS(U259/T259)</f>
        <v>2.3088921027803952E-2</v>
      </c>
      <c r="W259" s="24"/>
      <c r="X259" s="24"/>
    </row>
    <row r="260" spans="1:24" x14ac:dyDescent="0.25">
      <c r="A260" s="29">
        <v>5</v>
      </c>
      <c r="B260" s="10">
        <v>13</v>
      </c>
      <c r="C260" s="11">
        <v>1020</v>
      </c>
      <c r="D260" s="10">
        <v>150</v>
      </c>
      <c r="E260" s="6">
        <v>6.2449675134405505</v>
      </c>
      <c r="F260" s="6">
        <v>1.8302990716236256</v>
      </c>
      <c r="G260" s="6">
        <v>0.29308384193903608</v>
      </c>
      <c r="H260" s="22">
        <f>F260+F261-F262-F263-F264</f>
        <v>-4.2575857113099413E-2</v>
      </c>
      <c r="I260" s="22">
        <f>-H260/(2*(G260+G261+G262+G263+G264))</f>
        <v>4.848562412449034E-2</v>
      </c>
      <c r="J260" s="6">
        <f>E260+I260-I256</f>
        <v>6.2393224193566921</v>
      </c>
      <c r="K260" s="6">
        <f t="shared" si="140"/>
        <v>1.8272361437851043</v>
      </c>
      <c r="L260" s="6">
        <f t="shared" si="155"/>
        <v>0.29285810557190317</v>
      </c>
      <c r="M260" s="22">
        <f>K260+K261-K262-K263-K264</f>
        <v>-3.9414942264002661E-2</v>
      </c>
      <c r="N260" s="22">
        <f>-M260/(2*(L260+L261+L262+L263+L264))</f>
        <v>4.4907698647317286E-2</v>
      </c>
      <c r="O260" s="6">
        <f>J260+N260-N256</f>
        <v>6.2404065728438631</v>
      </c>
      <c r="P260" s="6">
        <f t="shared" si="141"/>
        <v>1.8278242031196705</v>
      </c>
      <c r="Q260" s="6">
        <f t="shared" si="156"/>
        <v>0.29290146111212412</v>
      </c>
      <c r="R260" s="22">
        <f>P260+P261-P262-P263-P264</f>
        <v>-3.2279721899324265E-2</v>
      </c>
      <c r="S260" s="22">
        <f>-R260/(2*(Q260+Q261+Q262+Q263+Q264))</f>
        <v>3.6774213431704283E-2</v>
      </c>
      <c r="T260" s="6">
        <f>O260+S260-S256</f>
        <v>6.2370944771210342</v>
      </c>
      <c r="U260" s="6">
        <f t="shared" si="144"/>
        <v>1.8260279514167694</v>
      </c>
      <c r="V260" s="6">
        <f t="shared" si="157"/>
        <v>0.29276900616385104</v>
      </c>
      <c r="W260" s="22">
        <f>U260+U261-U262-U263-U264</f>
        <v>-2.9238967289662021E-2</v>
      </c>
      <c r="X260" s="22">
        <f>-W260/(2*(V260+V261+V262+V263+V264))</f>
        <v>3.3319473561618684E-2</v>
      </c>
    </row>
    <row r="261" spans="1:24" x14ac:dyDescent="0.25">
      <c r="A261" s="30"/>
      <c r="B261" s="5">
        <v>18</v>
      </c>
      <c r="C261" s="6">
        <v>651</v>
      </c>
      <c r="D261" s="5">
        <v>300</v>
      </c>
      <c r="E261" s="6">
        <v>63.196636887396046</v>
      </c>
      <c r="F261" s="6">
        <v>2.9043578460849786</v>
      </c>
      <c r="G261" s="6">
        <v>4.5957474782399768E-2</v>
      </c>
      <c r="H261" s="23"/>
      <c r="I261" s="23"/>
      <c r="J261" s="6">
        <f>E261+I260</f>
        <v>63.245122511520535</v>
      </c>
      <c r="K261" s="6">
        <f t="shared" si="140"/>
        <v>2.9084859635291078</v>
      </c>
      <c r="L261" s="6">
        <f t="shared" si="155"/>
        <v>4.5987514104337567E-2</v>
      </c>
      <c r="M261" s="23"/>
      <c r="N261" s="23"/>
      <c r="O261" s="6">
        <f>J261+N260</f>
        <v>63.290030210167849</v>
      </c>
      <c r="P261" s="6">
        <f t="shared" si="141"/>
        <v>2.9123118586362291</v>
      </c>
      <c r="Q261" s="6">
        <f t="shared" si="156"/>
        <v>4.6015333678389558E-2</v>
      </c>
      <c r="R261" s="23"/>
      <c r="S261" s="23"/>
      <c r="T261" s="6">
        <f>O261+S260</f>
        <v>63.326804423599555</v>
      </c>
      <c r="U261" s="6">
        <f t="shared" si="144"/>
        <v>2.915446547437142</v>
      </c>
      <c r="V261" s="6">
        <f t="shared" si="157"/>
        <v>4.6038112517653947E-2</v>
      </c>
      <c r="W261" s="23"/>
      <c r="X261" s="23"/>
    </row>
    <row r="262" spans="1:24" x14ac:dyDescent="0.25">
      <c r="A262" s="30"/>
      <c r="B262" s="14">
        <f>-15</f>
        <v>-15</v>
      </c>
      <c r="C262" s="15">
        <v>570</v>
      </c>
      <c r="D262" s="14">
        <v>300</v>
      </c>
      <c r="E262" s="6">
        <v>-49.244111553678451</v>
      </c>
      <c r="F262" s="6">
        <v>1.6021343806504327</v>
      </c>
      <c r="G262" s="6">
        <v>3.2534537228964502E-2</v>
      </c>
      <c r="H262" s="23"/>
      <c r="I262" s="23"/>
      <c r="J262" s="6">
        <f>E262+I260-I265</f>
        <v>-49.208082615209996</v>
      </c>
      <c r="K262" s="6">
        <f t="shared" si="140"/>
        <v>1.5999641709697832</v>
      </c>
      <c r="L262" s="6">
        <f t="shared" si="155"/>
        <v>3.2514255503124229E-2</v>
      </c>
      <c r="M262" s="23"/>
      <c r="N262" s="23"/>
      <c r="O262" s="6">
        <f>J262+N260-N265</f>
        <v>-49.173412010443833</v>
      </c>
      <c r="P262" s="6">
        <f t="shared" si="141"/>
        <v>1.5978770585748352</v>
      </c>
      <c r="Q262" s="6">
        <f t="shared" si="156"/>
        <v>3.2494736347265581E-2</v>
      </c>
      <c r="R262" s="23"/>
      <c r="S262" s="23"/>
      <c r="T262" s="6">
        <f>O262+S260-S265</f>
        <v>-49.145933821351903</v>
      </c>
      <c r="U262" s="6">
        <f t="shared" si="144"/>
        <v>1.5962238078987503</v>
      </c>
      <c r="V262" s="6">
        <f t="shared" si="157"/>
        <v>3.2479264992727762E-2</v>
      </c>
      <c r="W262" s="23"/>
      <c r="X262" s="23"/>
    </row>
    <row r="263" spans="1:24" x14ac:dyDescent="0.25">
      <c r="A263" s="30"/>
      <c r="B263" s="18">
        <v>-14</v>
      </c>
      <c r="C263" s="19">
        <v>460</v>
      </c>
      <c r="D263" s="18">
        <v>500</v>
      </c>
      <c r="E263" s="6">
        <v>-131.7102366868485</v>
      </c>
      <c r="F263" s="6">
        <v>0.6644674327340534</v>
      </c>
      <c r="G263" s="6">
        <v>5.0449186748777715E-3</v>
      </c>
      <c r="H263" s="23"/>
      <c r="I263" s="23"/>
      <c r="J263" s="6">
        <f>E263+I260-I251</f>
        <v>-131.67578356414799</v>
      </c>
      <c r="K263" s="6">
        <f t="shared" si="140"/>
        <v>0.66414556655510104</v>
      </c>
      <c r="L263" s="6">
        <f t="shared" si="155"/>
        <v>5.0437942997434435E-3</v>
      </c>
      <c r="M263" s="23"/>
      <c r="N263" s="23"/>
      <c r="O263" s="6">
        <f>J263+N260-N251</f>
        <v>-131.64366979400876</v>
      </c>
      <c r="P263" s="6">
        <f t="shared" si="141"/>
        <v>0.66384561955730292</v>
      </c>
      <c r="Q263" s="6">
        <f t="shared" si="156"/>
        <v>5.042746230001522E-3</v>
      </c>
      <c r="R263" s="23"/>
      <c r="S263" s="23"/>
      <c r="T263" s="6">
        <f>O263+S260-S251</f>
        <v>-131.61757548178241</v>
      </c>
      <c r="U263" s="6">
        <f t="shared" si="144"/>
        <v>0.66360194102179426</v>
      </c>
      <c r="V263" s="6">
        <f t="shared" si="157"/>
        <v>5.04189458431139E-3</v>
      </c>
      <c r="W263" s="23"/>
      <c r="X263" s="23"/>
    </row>
    <row r="264" spans="1:24" x14ac:dyDescent="0.25">
      <c r="A264" s="31"/>
      <c r="B264" s="20">
        <v>-10</v>
      </c>
      <c r="C264" s="21">
        <v>1300</v>
      </c>
      <c r="D264" s="20">
        <v>300</v>
      </c>
      <c r="E264" s="6">
        <v>-40.21144560549898</v>
      </c>
      <c r="F264" s="6">
        <v>2.5106309614372182</v>
      </c>
      <c r="G264" s="6">
        <v>6.2435730017472574E-2</v>
      </c>
      <c r="H264" s="24"/>
      <c r="I264" s="24"/>
      <c r="J264" s="6">
        <f>E264+I260-I247</f>
        <v>-40.214873201216662</v>
      </c>
      <c r="K264" s="6">
        <f t="shared" si="140"/>
        <v>2.5110273120533302</v>
      </c>
      <c r="L264" s="6">
        <f t="shared" si="155"/>
        <v>6.2440264314382113E-2</v>
      </c>
      <c r="M264" s="24"/>
      <c r="N264" s="24"/>
      <c r="O264" s="6">
        <f>J264+N260-N247</f>
        <v>-40.211983037045023</v>
      </c>
      <c r="P264" s="6">
        <f t="shared" si="141"/>
        <v>2.5106931055230857</v>
      </c>
      <c r="Q264" s="6">
        <f t="shared" si="156"/>
        <v>6.2436440978554233E-2</v>
      </c>
      <c r="R264" s="24"/>
      <c r="S264" s="24"/>
      <c r="T264" s="6">
        <f>O264+S260-S247</f>
        <v>-40.213666029160891</v>
      </c>
      <c r="U264" s="6">
        <f t="shared" si="144"/>
        <v>2.5108877172230288</v>
      </c>
      <c r="V264" s="6">
        <f t="shared" si="157"/>
        <v>6.2438667377459733E-2</v>
      </c>
      <c r="W264" s="24"/>
      <c r="X264" s="24"/>
    </row>
    <row r="265" spans="1:24" x14ac:dyDescent="0.25">
      <c r="A265" s="28">
        <v>6</v>
      </c>
      <c r="B265" s="14">
        <v>15</v>
      </c>
      <c r="C265" s="15">
        <v>570</v>
      </c>
      <c r="D265" s="14">
        <v>300</v>
      </c>
      <c r="E265" s="6">
        <v>49.244111553678465</v>
      </c>
      <c r="F265" s="6">
        <v>1.6021343806504327</v>
      </c>
      <c r="G265" s="6">
        <v>3.2534537228964495E-2</v>
      </c>
      <c r="H265" s="22">
        <f>F265+F266-F267-F268</f>
        <v>-1.1052903180575502E-2</v>
      </c>
      <c r="I265" s="22">
        <f>-H265/(2*(G265+G266+G267+G268))</f>
        <v>1.2456685656032697E-2</v>
      </c>
      <c r="J265" s="6">
        <f>E265+I265-I260</f>
        <v>49.20808261521001</v>
      </c>
      <c r="K265" s="6">
        <f t="shared" si="140"/>
        <v>1.5999641709697843</v>
      </c>
      <c r="L265" s="6">
        <f t="shared" si="155"/>
        <v>3.2514255503124243E-2</v>
      </c>
      <c r="M265" s="22">
        <f>K265+K266-K267-K268</f>
        <v>-9.0845640790853111E-3</v>
      </c>
      <c r="N265" s="22">
        <f>-M265/(2*(L265+L266+L267+L268))</f>
        <v>1.023709388115281E-2</v>
      </c>
      <c r="O265" s="6">
        <f>J265+N265-N260</f>
        <v>49.173412010443847</v>
      </c>
      <c r="P265" s="6">
        <f t="shared" si="141"/>
        <v>1.597877058574837</v>
      </c>
      <c r="Q265" s="6">
        <f t="shared" si="156"/>
        <v>3.2494736347265608E-2</v>
      </c>
      <c r="R265" s="22">
        <f>P265+P266-P267-P268</f>
        <v>-8.2505506555770047E-3</v>
      </c>
      <c r="S265" s="22">
        <f>-R265/(2*(Q265+Q266+Q267+Q268))</f>
        <v>9.2960243397775897E-3</v>
      </c>
      <c r="T265" s="6">
        <f>O265+S265-S260</f>
        <v>49.145933821351917</v>
      </c>
      <c r="U265" s="6">
        <f t="shared" si="144"/>
        <v>1.5962238078987503</v>
      </c>
      <c r="V265" s="6">
        <f t="shared" si="157"/>
        <v>3.2479264992727755E-2</v>
      </c>
      <c r="W265" s="22">
        <f>U265+U266-U267-U268</f>
        <v>-6.8931400743559301E-3</v>
      </c>
      <c r="X265" s="22">
        <f>-W265/(2*(V265+V266+V267+V268))</f>
        <v>7.7658500403200723E-3</v>
      </c>
    </row>
    <row r="266" spans="1:24" x14ac:dyDescent="0.25">
      <c r="A266" s="28"/>
      <c r="B266" s="5">
        <v>19</v>
      </c>
      <c r="C266" s="6">
        <v>791</v>
      </c>
      <c r="D266" s="5">
        <v>200</v>
      </c>
      <c r="E266" s="6">
        <v>18.410748441074492</v>
      </c>
      <c r="F266" s="6">
        <v>2.5896265457267007</v>
      </c>
      <c r="G266" s="6">
        <v>0.14065840690915249</v>
      </c>
      <c r="H266" s="23"/>
      <c r="I266" s="23"/>
      <c r="J266" s="6">
        <f>E266+I265</f>
        <v>18.423205126730526</v>
      </c>
      <c r="K266" s="6">
        <f t="shared" si="140"/>
        <v>2.5928724397537848</v>
      </c>
      <c r="L266" s="6">
        <f t="shared" si="155"/>
        <v>0.14073948707175518</v>
      </c>
      <c r="M266" s="23"/>
      <c r="N266" s="23"/>
      <c r="O266" s="6">
        <f>J266+N265</f>
        <v>18.433442220611678</v>
      </c>
      <c r="P266" s="6">
        <f t="shared" si="141"/>
        <v>2.5955413650640797</v>
      </c>
      <c r="Q266" s="6">
        <f t="shared" si="156"/>
        <v>0.14080611390974115</v>
      </c>
      <c r="R266" s="23"/>
      <c r="S266" s="23"/>
      <c r="T266" s="6">
        <f>O266+S265</f>
        <v>18.442738244951457</v>
      </c>
      <c r="U266" s="6">
        <f t="shared" si="144"/>
        <v>2.5979660372771507</v>
      </c>
      <c r="V266" s="6">
        <f t="shared" si="157"/>
        <v>0.14086661117083965</v>
      </c>
      <c r="W266" s="23"/>
      <c r="X266" s="23"/>
    </row>
    <row r="267" spans="1:24" x14ac:dyDescent="0.25">
      <c r="A267" s="28"/>
      <c r="B267" s="5">
        <v>-16</v>
      </c>
      <c r="C267" s="6">
        <v>284</v>
      </c>
      <c r="D267" s="5">
        <v>200</v>
      </c>
      <c r="E267" s="6">
        <v>-24.639251558925505</v>
      </c>
      <c r="F267" s="6">
        <v>1.5950005311993496</v>
      </c>
      <c r="G267" s="6">
        <v>6.4734130717601479E-2</v>
      </c>
      <c r="H267" s="23"/>
      <c r="I267" s="23"/>
      <c r="J267" s="6">
        <f>E267+I265</f>
        <v>-24.626794873269471</v>
      </c>
      <c r="K267" s="6">
        <f t="shared" si="140"/>
        <v>1.5935074505680327</v>
      </c>
      <c r="L267" s="6">
        <f t="shared" si="155"/>
        <v>6.470624613427324E-2</v>
      </c>
      <c r="M267" s="23"/>
      <c r="N267" s="23"/>
      <c r="O267" s="6">
        <f>J267+N265</f>
        <v>-24.616557779388319</v>
      </c>
      <c r="P267" s="6">
        <f t="shared" si="141"/>
        <v>1.5922808957606001</v>
      </c>
      <c r="Q267" s="6">
        <f t="shared" si="156"/>
        <v>6.4683328596568945E-2</v>
      </c>
      <c r="R267" s="23"/>
      <c r="S267" s="23"/>
      <c r="T267" s="6">
        <f>O267+S265</f>
        <v>-24.60726175504854</v>
      </c>
      <c r="U267" s="6">
        <f t="shared" si="144"/>
        <v>1.5911674713911126</v>
      </c>
      <c r="V267" s="6">
        <f t="shared" si="157"/>
        <v>6.4662516586782001E-2</v>
      </c>
      <c r="W267" s="23"/>
      <c r="X267" s="23"/>
    </row>
    <row r="268" spans="1:24" x14ac:dyDescent="0.25">
      <c r="A268" s="28"/>
      <c r="B268" s="16">
        <v>-11</v>
      </c>
      <c r="C268" s="17">
        <v>1590</v>
      </c>
      <c r="D268" s="16">
        <v>200</v>
      </c>
      <c r="E268" s="6">
        <v>-12.676125133170055</v>
      </c>
      <c r="F268" s="6">
        <v>2.6078132983583595</v>
      </c>
      <c r="G268" s="6">
        <v>0.20572637702466381</v>
      </c>
      <c r="H268" s="24"/>
      <c r="I268" s="24"/>
      <c r="J268" s="6">
        <f>E268+I265-I251</f>
        <v>-12.677700948937995</v>
      </c>
      <c r="K268" s="6">
        <f t="shared" si="140"/>
        <v>2.6084137242346221</v>
      </c>
      <c r="L268" s="6">
        <f t="shared" si="155"/>
        <v>0.20574816638604557</v>
      </c>
      <c r="M268" s="24"/>
      <c r="N268" s="24"/>
      <c r="O268" s="6">
        <f>J268+N265-N251</f>
        <v>-12.680257783564905</v>
      </c>
      <c r="P268" s="6">
        <f t="shared" si="141"/>
        <v>2.6093880785338941</v>
      </c>
      <c r="Q268" s="6">
        <f t="shared" si="156"/>
        <v>0.2057835197890035</v>
      </c>
      <c r="R268" s="24"/>
      <c r="S268" s="24"/>
      <c r="T268" s="6">
        <f>O268+S265-S251</f>
        <v>-12.681641660430476</v>
      </c>
      <c r="U268" s="6">
        <f t="shared" si="144"/>
        <v>2.6099155138591441</v>
      </c>
      <c r="V268" s="6">
        <f t="shared" si="157"/>
        <v>0.20580265424173411</v>
      </c>
      <c r="W268" s="24"/>
      <c r="X268" s="24"/>
    </row>
    <row r="271" spans="1:24" x14ac:dyDescent="0.25">
      <c r="A271" s="32" t="s">
        <v>0</v>
      </c>
      <c r="B271" s="33" t="s">
        <v>1</v>
      </c>
      <c r="C271" s="34" t="s">
        <v>2</v>
      </c>
      <c r="D271" s="34" t="s">
        <v>3</v>
      </c>
      <c r="E271" s="25" t="s">
        <v>40</v>
      </c>
      <c r="F271" s="25"/>
      <c r="G271" s="25"/>
      <c r="H271" s="26" t="s">
        <v>5</v>
      </c>
      <c r="I271" s="26" t="s">
        <v>6</v>
      </c>
      <c r="J271" s="25" t="s">
        <v>41</v>
      </c>
      <c r="K271" s="25"/>
      <c r="L271" s="25"/>
      <c r="M271" s="26" t="s">
        <v>5</v>
      </c>
      <c r="N271" s="26" t="s">
        <v>6</v>
      </c>
      <c r="O271" s="25" t="s">
        <v>42</v>
      </c>
      <c r="P271" s="25"/>
      <c r="Q271" s="25"/>
      <c r="R271" s="26" t="s">
        <v>5</v>
      </c>
      <c r="S271" s="26" t="s">
        <v>6</v>
      </c>
      <c r="T271" s="25" t="s">
        <v>43</v>
      </c>
      <c r="U271" s="25"/>
      <c r="V271" s="25"/>
      <c r="W271" s="26" t="s">
        <v>5</v>
      </c>
      <c r="X271" s="26" t="s">
        <v>6</v>
      </c>
    </row>
    <row r="272" spans="1:24" x14ac:dyDescent="0.25">
      <c r="A272" s="32"/>
      <c r="B272" s="33"/>
      <c r="C272" s="35"/>
      <c r="D272" s="35"/>
      <c r="E272" s="1" t="s">
        <v>7</v>
      </c>
      <c r="F272" s="1" t="s">
        <v>8</v>
      </c>
      <c r="G272" s="2" t="s">
        <v>9</v>
      </c>
      <c r="H272" s="27"/>
      <c r="I272" s="27"/>
      <c r="J272" s="1" t="s">
        <v>7</v>
      </c>
      <c r="K272" s="1" t="s">
        <v>8</v>
      </c>
      <c r="L272" s="2" t="s">
        <v>9</v>
      </c>
      <c r="M272" s="27"/>
      <c r="N272" s="27"/>
      <c r="O272" s="1" t="s">
        <v>7</v>
      </c>
      <c r="P272" s="1" t="s">
        <v>8</v>
      </c>
      <c r="Q272" s="2" t="s">
        <v>9</v>
      </c>
      <c r="R272" s="27"/>
      <c r="S272" s="27"/>
      <c r="T272" s="1" t="s">
        <v>7</v>
      </c>
      <c r="U272" s="1" t="s">
        <v>8</v>
      </c>
      <c r="V272" s="2" t="s">
        <v>9</v>
      </c>
      <c r="W272" s="27"/>
      <c r="X272" s="27"/>
    </row>
    <row r="273" spans="1:24" x14ac:dyDescent="0.25">
      <c r="A273" s="28">
        <v>1</v>
      </c>
      <c r="B273" s="5">
        <v>5</v>
      </c>
      <c r="C273" s="6">
        <v>847</v>
      </c>
      <c r="D273" s="6">
        <v>600</v>
      </c>
      <c r="E273" s="6">
        <v>255.18792483424116</v>
      </c>
      <c r="F273" s="6">
        <v>1.7137843915644075</v>
      </c>
      <c r="G273" s="6">
        <v>6.7157738465783851E-3</v>
      </c>
      <c r="H273" s="22">
        <f>F273+F274-F275-F276</f>
        <v>-3.145283936256682E-3</v>
      </c>
      <c r="I273" s="22">
        <f>-H273/(2*(G273+G274+G275+G276))</f>
        <v>3.19158577768862E-2</v>
      </c>
      <c r="J273" s="6">
        <f>E273+I273</f>
        <v>255.21984069201804</v>
      </c>
      <c r="K273" s="6">
        <f>10.67*((ABS(J273)/1000)^1.852)*C273/((100^1.852)*(D273/1000)^4.87)</f>
        <v>1.7141813698065722</v>
      </c>
      <c r="L273" s="6">
        <f>ABS(K273/J273)</f>
        <v>6.7164894592780886E-3</v>
      </c>
      <c r="M273" s="22">
        <f>K273+K274-K275-K276</f>
        <v>-2.621564631932749E-3</v>
      </c>
      <c r="N273" s="22">
        <f>-M273/(2*(L273+L274+L275+L276))</f>
        <v>2.6601435033929404E-2</v>
      </c>
      <c r="O273" s="6">
        <f>J273+N273</f>
        <v>255.24644212705198</v>
      </c>
      <c r="P273" s="6">
        <f>10.67*((ABS(O273)/1000)^1.852)*C273/((100^1.852)*(D273/1000)^4.87)</f>
        <v>1.7145122781125866</v>
      </c>
      <c r="Q273" s="6">
        <f>ABS(P273/O273)</f>
        <v>6.7170859026476357E-3</v>
      </c>
      <c r="R273" s="22">
        <f>P273+P274-P275-P276</f>
        <v>-2.3406999488226887E-3</v>
      </c>
      <c r="S273" s="22">
        <f>-R273/(2*(Q273+Q274+Q275+Q276))</f>
        <v>2.3751491285924901E-2</v>
      </c>
      <c r="T273" s="6">
        <f>O273+S273</f>
        <v>255.27019361833791</v>
      </c>
      <c r="U273" s="6">
        <f>10.67*((ABS(T273)/1000)^1.852)*C273/((100^1.852)*(D273/1000)^4.87)</f>
        <v>1.7148077594002284</v>
      </c>
      <c r="V273" s="6">
        <f>ABS(U273/T273)</f>
        <v>6.7176184383049781E-3</v>
      </c>
      <c r="W273" s="22">
        <f>U273+U274-U275-U276</f>
        <v>-1.9745898826732944E-3</v>
      </c>
      <c r="X273" s="22">
        <f>-W273/(2*(V273+V274+V275+V276))</f>
        <v>2.0036450689220418E-2</v>
      </c>
    </row>
    <row r="274" spans="1:24" x14ac:dyDescent="0.25">
      <c r="A274" s="28"/>
      <c r="B274" s="8">
        <v>9</v>
      </c>
      <c r="C274" s="9">
        <v>1121</v>
      </c>
      <c r="D274" s="9">
        <v>400</v>
      </c>
      <c r="E274" s="6">
        <v>77.078214887762556</v>
      </c>
      <c r="F274" s="6">
        <v>1.7796528165076533</v>
      </c>
      <c r="G274" s="6">
        <v>2.3088921027803962E-2</v>
      </c>
      <c r="H274" s="23"/>
      <c r="I274" s="23"/>
      <c r="J274" s="6">
        <f>E274+I273-I286</f>
        <v>77.076977942936992</v>
      </c>
      <c r="K274" s="6">
        <f t="shared" ref="K274:K298" si="158">10.67*((ABS(J274)/1000)^1.852)*C274/((100^1.852)*(D274/1000)^4.87)</f>
        <v>1.7795999242652294</v>
      </c>
      <c r="L274" s="6">
        <f>ABS(K274/J274)</f>
        <v>2.3088605336638063E-2</v>
      </c>
      <c r="M274" s="23"/>
      <c r="N274" s="23"/>
      <c r="O274" s="6">
        <f>J274+N273-N286</f>
        <v>77.073789514041451</v>
      </c>
      <c r="P274" s="6">
        <f t="shared" ref="P274:P298" si="159">10.67*((ABS(O274)/1000)^1.852)*C274/((100^1.852)*(D274/1000)^4.87)</f>
        <v>1.779463589138693</v>
      </c>
      <c r="Q274" s="6">
        <f>ABS(P274/O274)</f>
        <v>2.308779158723611E-2</v>
      </c>
      <c r="R274" s="23"/>
      <c r="S274" s="23"/>
      <c r="T274" s="6">
        <f>O274+S273-S286</f>
        <v>77.072543890370383</v>
      </c>
      <c r="U274" s="6">
        <f>10.67*((ABS(T274)/1000)^1.852)*C274/((100^1.852)*(D274/1000)^4.87)</f>
        <v>1.7794103283935137</v>
      </c>
      <c r="V274" s="6">
        <f>ABS(U274/T274)</f>
        <v>2.3087473678364431E-2</v>
      </c>
      <c r="W274" s="23"/>
      <c r="X274" s="23"/>
    </row>
    <row r="275" spans="1:24" x14ac:dyDescent="0.25">
      <c r="A275" s="28"/>
      <c r="B275" s="3">
        <v>-6</v>
      </c>
      <c r="C275" s="4">
        <v>1075</v>
      </c>
      <c r="D275" s="4">
        <v>450</v>
      </c>
      <c r="E275" s="6">
        <v>-106.91254561851933</v>
      </c>
      <c r="F275" s="6">
        <v>1.7627431637299797</v>
      </c>
      <c r="G275" s="6">
        <v>1.6487711086963758E-2</v>
      </c>
      <c r="H275" s="23"/>
      <c r="I275" s="23"/>
      <c r="J275" s="6">
        <f>E275+I273-I277</f>
        <v>-106.9124354559715</v>
      </c>
      <c r="K275" s="6">
        <f t="shared" si="158"/>
        <v>1.7627397998915173</v>
      </c>
      <c r="L275" s="6">
        <f t="shared" ref="L275" si="160">ABS(K275/J275)</f>
        <v>1.6487696612406195E-2</v>
      </c>
      <c r="M275" s="23"/>
      <c r="N275" s="23"/>
      <c r="O275" s="6">
        <f>J275+N273-N277</f>
        <v>-106.91442070253775</v>
      </c>
      <c r="P275" s="6">
        <f t="shared" si="159"/>
        <v>1.7628004203000367</v>
      </c>
      <c r="Q275" s="6">
        <f t="shared" ref="Q275" si="161">ABS(P275/O275)</f>
        <v>1.6487957459027737E-2</v>
      </c>
      <c r="R275" s="23"/>
      <c r="S275" s="23"/>
      <c r="T275" s="6">
        <f>O275+S273-S277</f>
        <v>-106.91465905109453</v>
      </c>
      <c r="U275" s="6">
        <f t="shared" ref="U275:U298" si="162">10.67*((ABS(T275)/1000)^1.852)*C275/((100^1.852)*(D275/1000)^4.87)</f>
        <v>1.7628076984463079</v>
      </c>
      <c r="V275" s="6">
        <f t="shared" ref="V275" si="163">ABS(U275/T275)</f>
        <v>1.648798877620572E-2</v>
      </c>
      <c r="W275" s="23"/>
      <c r="X275" s="23"/>
    </row>
    <row r="276" spans="1:24" x14ac:dyDescent="0.25">
      <c r="A276" s="28"/>
      <c r="B276" s="5">
        <v>-2</v>
      </c>
      <c r="C276" s="6">
        <v>757</v>
      </c>
      <c r="D276" s="6">
        <v>800</v>
      </c>
      <c r="E276" s="6">
        <v>-581.39207516575891</v>
      </c>
      <c r="F276" s="6">
        <v>1.733839328278338</v>
      </c>
      <c r="G276" s="6">
        <v>2.9822204366717732E-3</v>
      </c>
      <c r="H276" s="24"/>
      <c r="I276" s="24"/>
      <c r="J276" s="6">
        <f>E276+I273</f>
        <v>-581.36015930798203</v>
      </c>
      <c r="K276" s="6">
        <f t="shared" si="158"/>
        <v>1.7336630588122173</v>
      </c>
      <c r="L276" s="6">
        <f>ABS(K276/J276)</f>
        <v>2.9820809545598563E-3</v>
      </c>
      <c r="M276" s="24"/>
      <c r="N276" s="24"/>
      <c r="O276" s="6">
        <f>J276+N273</f>
        <v>-581.33355787294806</v>
      </c>
      <c r="P276" s="6">
        <f t="shared" si="159"/>
        <v>1.7335161469000655</v>
      </c>
      <c r="Q276" s="6">
        <f>ABS(P276/O276)</f>
        <v>2.9819646972434541E-3</v>
      </c>
      <c r="R276" s="24"/>
      <c r="S276" s="24"/>
      <c r="T276" s="6">
        <f>O276+S273</f>
        <v>-581.30980638166216</v>
      </c>
      <c r="U276" s="6">
        <f t="shared" si="162"/>
        <v>1.7333849792301075</v>
      </c>
      <c r="V276" s="6">
        <f>ABS(U276/T276)</f>
        <v>2.9818608944849694E-3</v>
      </c>
      <c r="W276" s="24"/>
      <c r="X276" s="24"/>
    </row>
    <row r="277" spans="1:24" x14ac:dyDescent="0.25">
      <c r="A277" s="28">
        <v>2</v>
      </c>
      <c r="B277" s="3">
        <v>6</v>
      </c>
      <c r="C277" s="4">
        <v>1075</v>
      </c>
      <c r="D277" s="4">
        <v>450</v>
      </c>
      <c r="E277" s="6">
        <v>106.91254561851932</v>
      </c>
      <c r="F277" s="6">
        <v>1.7627431637299797</v>
      </c>
      <c r="G277" s="6">
        <v>1.6487711086963761E-2</v>
      </c>
      <c r="H277" s="22">
        <f>F277+F278-F279-F280</f>
        <v>-6.0318204052935975E-3</v>
      </c>
      <c r="I277" s="22">
        <f>-H277/(2*(G277+G278+G279+G280))</f>
        <v>3.1805695229053001E-2</v>
      </c>
      <c r="J277" s="6">
        <f>E277+I277-I273</f>
        <v>106.91243545597149</v>
      </c>
      <c r="K277" s="6">
        <f t="shared" si="158"/>
        <v>1.7627397998915173</v>
      </c>
      <c r="L277" s="6">
        <f t="shared" ref="L277:L283" si="164">ABS(K277/J277)</f>
        <v>1.6487696612406198E-2</v>
      </c>
      <c r="M277" s="22">
        <f>K277+K278-K279-K280</f>
        <v>-5.4211489196172025E-3</v>
      </c>
      <c r="N277" s="22">
        <f>-M277/(2*(L277+L278+L279+L280))</f>
        <v>2.8586681600170988E-2</v>
      </c>
      <c r="O277" s="6">
        <f>J277+N277-N273</f>
        <v>106.91442070253774</v>
      </c>
      <c r="P277" s="6">
        <f t="shared" si="159"/>
        <v>1.7628004203000367</v>
      </c>
      <c r="Q277" s="6">
        <f t="shared" ref="Q277:Q283" si="165">ABS(P277/O277)</f>
        <v>1.6487957459027737E-2</v>
      </c>
      <c r="R277" s="22">
        <f>P277+P278-P279-P280</f>
        <v>-4.5494087538155981E-3</v>
      </c>
      <c r="S277" s="22">
        <f>-R277/(2*(Q277+Q278+Q279+Q280))</f>
        <v>2.3989839842703711E-2</v>
      </c>
      <c r="T277" s="6">
        <f>O277+S277-S273</f>
        <v>106.91465905109452</v>
      </c>
      <c r="U277" s="6">
        <f t="shared" si="162"/>
        <v>1.7628076984463079</v>
      </c>
      <c r="V277" s="6">
        <f t="shared" ref="V277:V283" si="166">ABS(U277/T277)</f>
        <v>1.6487988776205723E-2</v>
      </c>
      <c r="W277" s="22">
        <f>U277+U278-U279-U280</f>
        <v>-4.0389996468714884E-3</v>
      </c>
      <c r="X277" s="22">
        <f>-W277/(2*(V277+V278+V279+V280))</f>
        <v>2.1298841481673145E-2</v>
      </c>
    </row>
    <row r="278" spans="1:24" x14ac:dyDescent="0.25">
      <c r="A278" s="28"/>
      <c r="B278" s="20">
        <v>10</v>
      </c>
      <c r="C278" s="21">
        <v>1300</v>
      </c>
      <c r="D278" s="21">
        <v>300</v>
      </c>
      <c r="E278" s="6">
        <v>40.213666029160898</v>
      </c>
      <c r="F278" s="6">
        <v>2.5108877172230311</v>
      </c>
      <c r="G278" s="6">
        <v>6.2438667377459782E-2</v>
      </c>
      <c r="H278" s="23"/>
      <c r="I278" s="23"/>
      <c r="J278" s="6">
        <f>E278+I277-I290</f>
        <v>40.212152250828332</v>
      </c>
      <c r="K278" s="6">
        <f t="shared" si="158"/>
        <v>2.5107126721352024</v>
      </c>
      <c r="L278" s="6">
        <f t="shared" si="164"/>
        <v>6.2436664828938226E-2</v>
      </c>
      <c r="M278" s="23"/>
      <c r="N278" s="23"/>
      <c r="O278" s="6">
        <f>J278+N277-N290</f>
        <v>40.212964616015775</v>
      </c>
      <c r="P278" s="6">
        <f t="shared" si="159"/>
        <v>2.5108066089262806</v>
      </c>
      <c r="Q278" s="6">
        <f t="shared" si="165"/>
        <v>6.2437739492757813E-2</v>
      </c>
      <c r="R278" s="23"/>
      <c r="S278" s="23"/>
      <c r="T278" s="6">
        <f>O278+S277-S290</f>
        <v>40.212160774553283</v>
      </c>
      <c r="U278" s="6">
        <f t="shared" si="162"/>
        <v>2.5107136577566496</v>
      </c>
      <c r="V278" s="6">
        <f t="shared" si="166"/>
        <v>6.2436676104842839E-2</v>
      </c>
      <c r="W278" s="23"/>
      <c r="X278" s="23"/>
    </row>
    <row r="279" spans="1:24" x14ac:dyDescent="0.25">
      <c r="A279" s="28"/>
      <c r="B279" s="12">
        <v>-7</v>
      </c>
      <c r="C279" s="13">
        <v>600</v>
      </c>
      <c r="D279" s="13">
        <v>500</v>
      </c>
      <c r="E279" s="6">
        <v>-173.28390945262146</v>
      </c>
      <c r="F279" s="6">
        <v>1.4404958271026158</v>
      </c>
      <c r="G279" s="6">
        <v>8.3129231770735761E-3</v>
      </c>
      <c r="H279" s="23"/>
      <c r="I279" s="23"/>
      <c r="J279" s="6">
        <f>E279+I277-I281</f>
        <v>-173.26166882695236</v>
      </c>
      <c r="K279" s="6">
        <f t="shared" si="158"/>
        <v>1.4401534395216813</v>
      </c>
      <c r="L279" s="6">
        <f t="shared" si="164"/>
        <v>8.3120141302578335E-3</v>
      </c>
      <c r="M279" s="23"/>
      <c r="N279" s="23"/>
      <c r="O279" s="6">
        <f>J279+N277-N281</f>
        <v>-173.2411578531183</v>
      </c>
      <c r="P279" s="6">
        <f t="shared" si="159"/>
        <v>1.4398377125868216</v>
      </c>
      <c r="Q279" s="6">
        <f t="shared" si="165"/>
        <v>8.3111757646389152E-3</v>
      </c>
      <c r="R279" s="23"/>
      <c r="S279" s="23"/>
      <c r="T279" s="6">
        <f>O279+S277-S281</f>
        <v>-173.22431744497521</v>
      </c>
      <c r="U279" s="6">
        <f t="shared" si="162"/>
        <v>1.439578510748581</v>
      </c>
      <c r="V279" s="6">
        <f t="shared" si="166"/>
        <v>8.3104874187532232E-3</v>
      </c>
      <c r="W279" s="23"/>
      <c r="X279" s="23"/>
    </row>
    <row r="280" spans="1:24" x14ac:dyDescent="0.25">
      <c r="A280" s="28"/>
      <c r="B280" s="5">
        <v>-3</v>
      </c>
      <c r="C280" s="6">
        <v>690</v>
      </c>
      <c r="D280" s="6">
        <v>600</v>
      </c>
      <c r="E280" s="6">
        <v>-374.37952954723949</v>
      </c>
      <c r="F280" s="6">
        <v>2.8391668742556884</v>
      </c>
      <c r="G280" s="6">
        <v>7.5836594957242182E-3</v>
      </c>
      <c r="H280" s="24"/>
      <c r="I280" s="24"/>
      <c r="J280" s="6">
        <f>E280+I277</f>
        <v>-374.34772385201046</v>
      </c>
      <c r="K280" s="6">
        <f t="shared" si="158"/>
        <v>2.8387201814246557</v>
      </c>
      <c r="L280" s="6">
        <f t="shared" si="164"/>
        <v>7.5831105695379538E-3</v>
      </c>
      <c r="M280" s="24"/>
      <c r="N280" s="24"/>
      <c r="O280" s="6">
        <f>J280+N277</f>
        <v>-374.31913717041027</v>
      </c>
      <c r="P280" s="6">
        <f t="shared" si="159"/>
        <v>2.8383187253933118</v>
      </c>
      <c r="Q280" s="6">
        <f t="shared" si="165"/>
        <v>7.5826171935771368E-3</v>
      </c>
      <c r="R280" s="24"/>
      <c r="S280" s="24"/>
      <c r="T280" s="6">
        <f>O280+S277</f>
        <v>-374.29514733056754</v>
      </c>
      <c r="U280" s="6">
        <f t="shared" si="162"/>
        <v>2.8379818451012477</v>
      </c>
      <c r="V280" s="6">
        <f t="shared" si="166"/>
        <v>7.5822031499511201E-3</v>
      </c>
      <c r="W280" s="24"/>
      <c r="X280" s="24"/>
    </row>
    <row r="281" spans="1:24" x14ac:dyDescent="0.25">
      <c r="A281" s="28">
        <v>3</v>
      </c>
      <c r="B281" s="12">
        <v>7</v>
      </c>
      <c r="C281" s="13">
        <v>600</v>
      </c>
      <c r="D281" s="13">
        <v>500</v>
      </c>
      <c r="E281" s="6">
        <v>173.28390945262143</v>
      </c>
      <c r="F281" s="6">
        <v>1.4404958271026151</v>
      </c>
      <c r="G281" s="6">
        <v>8.3129231770735727E-3</v>
      </c>
      <c r="H281" s="22">
        <f>F281+F282+F283-F284-F285</f>
        <v>-4.8816844782004765E-3</v>
      </c>
      <c r="I281" s="22">
        <f>-H281/(2*(G281+G282+G283+G284+G285))</f>
        <v>9.5650695599483627E-3</v>
      </c>
      <c r="J281" s="6">
        <f>E281+I281-I277</f>
        <v>173.26166882695233</v>
      </c>
      <c r="K281" s="6">
        <f t="shared" si="158"/>
        <v>1.4401534395216806</v>
      </c>
      <c r="L281" s="6">
        <f t="shared" si="164"/>
        <v>8.3120141302578318E-3</v>
      </c>
      <c r="M281" s="22">
        <f>K281+K282+K283-K284-K285</f>
        <v>-4.1219032913941689E-3</v>
      </c>
      <c r="N281" s="22">
        <f>-M281/(2*(L281+L282+L283+L284+L285))</f>
        <v>8.075707766096599E-3</v>
      </c>
      <c r="O281" s="6">
        <f>J281+N281-N277</f>
        <v>173.24115785311827</v>
      </c>
      <c r="P281" s="6">
        <f t="shared" si="159"/>
        <v>1.4398377125868216</v>
      </c>
      <c r="Q281" s="6">
        <f t="shared" si="165"/>
        <v>8.3111757646389169E-3</v>
      </c>
      <c r="R281" s="22">
        <f>P281+P282+P283-P284-P285</f>
        <v>-3.6493012561455984E-3</v>
      </c>
      <c r="S281" s="22">
        <f>-R281/(2*(Q281+Q282+Q283+Q284+Q285))</f>
        <v>7.1494316996033817E-3</v>
      </c>
      <c r="T281" s="6">
        <f>O281+S281-S277</f>
        <v>173.22431744497518</v>
      </c>
      <c r="U281" s="6">
        <f t="shared" si="162"/>
        <v>1.4395785107485803</v>
      </c>
      <c r="V281" s="6">
        <f t="shared" si="166"/>
        <v>8.3104874187532214E-3</v>
      </c>
      <c r="W281" s="22">
        <f>U281+U282+U283-U284-U285</f>
        <v>-3.1052677171206078E-3</v>
      </c>
      <c r="X281" s="22">
        <f>-W281/(2*(V281+V282+V283+V284+V285))</f>
        <v>6.0832487295672932E-3</v>
      </c>
    </row>
    <row r="282" spans="1:24" x14ac:dyDescent="0.25">
      <c r="A282" s="28"/>
      <c r="B282" s="18">
        <v>14</v>
      </c>
      <c r="C282" s="19">
        <v>460</v>
      </c>
      <c r="D282" s="19">
        <v>500</v>
      </c>
      <c r="E282" s="6">
        <v>131.61757548178241</v>
      </c>
      <c r="F282" s="6">
        <v>0.66360194102179426</v>
      </c>
      <c r="G282" s="6">
        <v>5.04189458431139E-3</v>
      </c>
      <c r="H282" s="23"/>
      <c r="I282" s="23"/>
      <c r="J282" s="6">
        <f>E282+I281-I290</f>
        <v>131.59382107778075</v>
      </c>
      <c r="K282" s="6">
        <f t="shared" si="158"/>
        <v>0.66338014921960342</v>
      </c>
      <c r="L282" s="6">
        <f t="shared" si="164"/>
        <v>5.0411192849814839E-3</v>
      </c>
      <c r="M282" s="23"/>
      <c r="N282" s="23"/>
      <c r="O282" s="6">
        <f>J282+N281-N290</f>
        <v>131.5741224691341</v>
      </c>
      <c r="P282" s="6">
        <f t="shared" si="159"/>
        <v>0.66319625172484531</v>
      </c>
      <c r="Q282" s="6">
        <f t="shared" si="165"/>
        <v>5.0404763435182645E-3</v>
      </c>
      <c r="R282" s="23"/>
      <c r="S282" s="23"/>
      <c r="T282" s="6">
        <f>O282+S281-S290</f>
        <v>131.55647821952851</v>
      </c>
      <c r="U282" s="6">
        <f t="shared" si="162"/>
        <v>0.66303155273131631</v>
      </c>
      <c r="V282" s="6">
        <f t="shared" si="166"/>
        <v>5.0399004420361151E-3</v>
      </c>
      <c r="W282" s="23"/>
      <c r="X282" s="23"/>
    </row>
    <row r="283" spans="1:24" x14ac:dyDescent="0.25">
      <c r="A283" s="28"/>
      <c r="B283" s="16">
        <v>11</v>
      </c>
      <c r="C283" s="17">
        <v>1590</v>
      </c>
      <c r="D283" s="17">
        <v>200</v>
      </c>
      <c r="E283" s="6">
        <v>12.681641660430472</v>
      </c>
      <c r="F283" s="6">
        <v>2.6099155138591392</v>
      </c>
      <c r="G283" s="6">
        <v>0.2058026542417338</v>
      </c>
      <c r="H283" s="23"/>
      <c r="I283" s="23"/>
      <c r="J283" s="6">
        <f>E283+I281-I295</f>
        <v>12.683440879950101</v>
      </c>
      <c r="K283" s="6">
        <f t="shared" si="158"/>
        <v>2.6106013215567785</v>
      </c>
      <c r="L283" s="6">
        <f t="shared" si="164"/>
        <v>0.20582753105141993</v>
      </c>
      <c r="M283" s="23"/>
      <c r="N283" s="23"/>
      <c r="O283" s="6">
        <f>J283+N281-N295</f>
        <v>12.684577979512181</v>
      </c>
      <c r="P283" s="6">
        <f t="shared" si="159"/>
        <v>2.6110347920354422</v>
      </c>
      <c r="Q283" s="6">
        <f t="shared" si="165"/>
        <v>0.20584325282659949</v>
      </c>
      <c r="R283" s="23"/>
      <c r="S283" s="23"/>
      <c r="T283" s="6">
        <f>O283+S281-S295</f>
        <v>12.685865880283616</v>
      </c>
      <c r="U283" s="6">
        <f t="shared" si="162"/>
        <v>2.6115257889984722</v>
      </c>
      <c r="V283" s="6">
        <f t="shared" si="166"/>
        <v>0.20586105935877091</v>
      </c>
      <c r="W283" s="23"/>
      <c r="X283" s="23"/>
    </row>
    <row r="284" spans="1:24" x14ac:dyDescent="0.25">
      <c r="A284" s="28"/>
      <c r="B284" s="5">
        <v>-8</v>
      </c>
      <c r="C284" s="6">
        <v>284</v>
      </c>
      <c r="D284" s="6">
        <v>400</v>
      </c>
      <c r="E284" s="6">
        <v>-112.29562009461803</v>
      </c>
      <c r="F284" s="6">
        <v>0.90515413554228319</v>
      </c>
      <c r="G284" s="6">
        <v>8.0604580550837027E-3</v>
      </c>
      <c r="H284" s="23"/>
      <c r="I284" s="23"/>
      <c r="J284" s="6">
        <f>E284+I281</f>
        <v>-112.28605502505808</v>
      </c>
      <c r="K284" s="6">
        <f t="shared" si="158"/>
        <v>0.90501135366807484</v>
      </c>
      <c r="L284" s="6">
        <f>ABS(K284/J284)</f>
        <v>8.0598730934674824E-3</v>
      </c>
      <c r="M284" s="23"/>
      <c r="N284" s="23"/>
      <c r="O284" s="6">
        <f>J284+N281</f>
        <v>-112.27797931729198</v>
      </c>
      <c r="P284" s="6">
        <f t="shared" si="159"/>
        <v>0.90489081220051648</v>
      </c>
      <c r="Q284" s="6">
        <f>ABS(P284/O284)</f>
        <v>8.0593792095539959E-3</v>
      </c>
      <c r="R284" s="23"/>
      <c r="S284" s="23"/>
      <c r="T284" s="6">
        <f>O284+S281</f>
        <v>-112.27082988559238</v>
      </c>
      <c r="U284" s="6">
        <f t="shared" si="162"/>
        <v>0.90478410289002309</v>
      </c>
      <c r="V284" s="6">
        <f>ABS(U284/T284)</f>
        <v>8.0589419692722267E-3</v>
      </c>
      <c r="W284" s="23"/>
      <c r="X284" s="23"/>
    </row>
    <row r="285" spans="1:24" x14ac:dyDescent="0.25">
      <c r="A285" s="28"/>
      <c r="B285" s="5">
        <v>-4</v>
      </c>
      <c r="C285" s="6">
        <v>835</v>
      </c>
      <c r="D285" s="5">
        <v>400</v>
      </c>
      <c r="E285" s="6">
        <v>-136.37562009461809</v>
      </c>
      <c r="F285" s="6">
        <v>3.8137408309194663</v>
      </c>
      <c r="G285" s="6">
        <v>2.7964975178653442E-2</v>
      </c>
      <c r="H285" s="24"/>
      <c r="I285" s="24"/>
      <c r="J285" s="6">
        <f>E285+I281</f>
        <v>-136.36605502505813</v>
      </c>
      <c r="K285" s="6">
        <f t="shared" si="158"/>
        <v>3.8132454599213816</v>
      </c>
      <c r="L285" s="6">
        <f t="shared" ref="L285" si="167">ABS(K285/J285)</f>
        <v>2.7963304058481957E-2</v>
      </c>
      <c r="M285" s="24"/>
      <c r="N285" s="24"/>
      <c r="O285" s="6">
        <f>J285+N281</f>
        <v>-136.35797931729203</v>
      </c>
      <c r="P285" s="6">
        <f t="shared" si="159"/>
        <v>3.8128272454027377</v>
      </c>
      <c r="Q285" s="6">
        <f t="shared" ref="Q285" si="168">ABS(P285/O285)</f>
        <v>2.7961893132272455E-2</v>
      </c>
      <c r="R285" s="24"/>
      <c r="S285" s="24"/>
      <c r="T285" s="6">
        <f>O285+S281</f>
        <v>-136.35082988559242</v>
      </c>
      <c r="U285" s="6">
        <f t="shared" si="162"/>
        <v>3.812457017305467</v>
      </c>
      <c r="V285" s="6">
        <f t="shared" ref="V285" si="169">ABS(U285/T285)</f>
        <v>2.7960644027648213E-2</v>
      </c>
      <c r="W285" s="24"/>
      <c r="X285" s="24"/>
    </row>
    <row r="286" spans="1:24" x14ac:dyDescent="0.25">
      <c r="A286" s="28">
        <v>4</v>
      </c>
      <c r="B286" s="5">
        <v>12</v>
      </c>
      <c r="C286" s="6">
        <v>385</v>
      </c>
      <c r="D286" s="5">
        <v>400</v>
      </c>
      <c r="E286" s="6">
        <v>106.44970994647855</v>
      </c>
      <c r="F286" s="6">
        <v>1.1113851065499407</v>
      </c>
      <c r="G286" s="6">
        <v>1.0440470970834302E-2</v>
      </c>
      <c r="H286" s="22">
        <f>F286+F287-F288-F289</f>
        <v>-2.3563207187857982E-2</v>
      </c>
      <c r="I286" s="22">
        <f>-H286/(2*(G286+G287+G288+G289))</f>
        <v>3.3152802602445068E-2</v>
      </c>
      <c r="J286" s="6">
        <f>E286+I286</f>
        <v>106.48286274908099</v>
      </c>
      <c r="K286" s="6">
        <f t="shared" si="158"/>
        <v>1.1120262259742542</v>
      </c>
      <c r="L286" s="6">
        <f>ABS(K286/J286)</f>
        <v>1.0443241262161234E-2</v>
      </c>
      <c r="M286" s="22">
        <f>K286+K287-K288-K289</f>
        <v>-2.1174132604390605E-2</v>
      </c>
      <c r="N286" s="22">
        <f>-M286/(2*(L286+L287+L288+L289))</f>
        <v>2.978986392946676E-2</v>
      </c>
      <c r="O286" s="6">
        <f>J286+N286</f>
        <v>106.51265261301046</v>
      </c>
      <c r="P286" s="6">
        <f t="shared" si="159"/>
        <v>1.1126024569069479</v>
      </c>
      <c r="Q286" s="6">
        <f>ABS(P286/O286)</f>
        <v>1.0445730433071988E-2</v>
      </c>
      <c r="R286" s="22">
        <f>P286+P287-P288-P289</f>
        <v>-1.7764015376570796E-2</v>
      </c>
      <c r="S286" s="22">
        <f>-R286/(2*(Q286+Q287+Q288+Q289))</f>
        <v>2.4997114956990859E-2</v>
      </c>
      <c r="T286" s="6">
        <f>O286+S286</f>
        <v>106.53764972796745</v>
      </c>
      <c r="U286" s="6">
        <f t="shared" si="162"/>
        <v>1.1130860867596866</v>
      </c>
      <c r="V286" s="6">
        <f>ABS(U286/T286)</f>
        <v>1.0447819053656932E-2</v>
      </c>
      <c r="W286" s="22">
        <f>U286+U287-U288-U289</f>
        <v>-1.5769844293705093E-2</v>
      </c>
      <c r="X286" s="22">
        <f>-W286/(2*(V286+V287+V288+V289))</f>
        <v>2.2190905690604997E-2</v>
      </c>
    </row>
    <row r="287" spans="1:24" x14ac:dyDescent="0.25">
      <c r="A287" s="28"/>
      <c r="B287" s="5">
        <v>17</v>
      </c>
      <c r="C287" s="6">
        <v>320</v>
      </c>
      <c r="D287" s="5">
        <v>300</v>
      </c>
      <c r="E287" s="6">
        <v>84.97970994647855</v>
      </c>
      <c r="F287" s="6">
        <v>2.4707324541866211</v>
      </c>
      <c r="G287" s="6">
        <v>2.9074380881538946E-2</v>
      </c>
      <c r="H287" s="23"/>
      <c r="I287" s="23"/>
      <c r="J287" s="6">
        <f>E287+I286</f>
        <v>85.012862749080995</v>
      </c>
      <c r="K287" s="6">
        <f t="shared" si="158"/>
        <v>2.4725178884927783</v>
      </c>
      <c r="L287" s="6">
        <f t="shared" ref="L287" si="170">ABS(K287/J287)</f>
        <v>2.9084044561474395E-2</v>
      </c>
      <c r="M287" s="23"/>
      <c r="N287" s="23"/>
      <c r="O287" s="6">
        <f>J287+N286</f>
        <v>85.042652613010461</v>
      </c>
      <c r="P287" s="6">
        <f t="shared" si="159"/>
        <v>2.47412271883743</v>
      </c>
      <c r="Q287" s="6">
        <f t="shared" ref="Q287" si="171">ABS(P287/O287)</f>
        <v>2.9092727505761268E-2</v>
      </c>
      <c r="R287" s="23"/>
      <c r="S287" s="23"/>
      <c r="T287" s="6">
        <f>O287+S286</f>
        <v>85.067649727967449</v>
      </c>
      <c r="U287" s="6">
        <f t="shared" si="162"/>
        <v>2.4754697253199165</v>
      </c>
      <c r="V287" s="6">
        <f t="shared" ref="V287" si="172">ABS(U287/T287)</f>
        <v>2.910001314525636E-2</v>
      </c>
      <c r="W287" s="23"/>
      <c r="X287" s="23"/>
    </row>
    <row r="288" spans="1:24" x14ac:dyDescent="0.25">
      <c r="A288" s="28"/>
      <c r="B288" s="10">
        <v>-13</v>
      </c>
      <c r="C288" s="11">
        <v>1020</v>
      </c>
      <c r="D288" s="10">
        <v>150</v>
      </c>
      <c r="E288" s="6">
        <v>-6.2370944771210279</v>
      </c>
      <c r="F288" s="6">
        <v>1.8260279514167665</v>
      </c>
      <c r="G288" s="6">
        <v>0.29276900616385088</v>
      </c>
      <c r="H288" s="23"/>
      <c r="I288" s="23"/>
      <c r="J288" s="6">
        <f>E288+I286-I290</f>
        <v>-6.2372611480802016</v>
      </c>
      <c r="K288" s="6">
        <f t="shared" si="158"/>
        <v>1.8261183228061937</v>
      </c>
      <c r="L288" s="6">
        <f>ABS(K288/J288)</f>
        <v>0.29277567179759084</v>
      </c>
      <c r="M288" s="23"/>
      <c r="N288" s="23"/>
      <c r="O288" s="6">
        <f>J288+N286-N290</f>
        <v>-6.2352456005634691</v>
      </c>
      <c r="P288" s="6">
        <f t="shared" si="159"/>
        <v>1.8250256019822542</v>
      </c>
      <c r="Q288" s="6">
        <f>ABS(P288/O288)</f>
        <v>0.29269506269605955</v>
      </c>
      <c r="R288" s="23"/>
      <c r="S288" s="23"/>
      <c r="T288" s="6">
        <f>O288+S286-S290</f>
        <v>-6.2350421669116729</v>
      </c>
      <c r="U288" s="6">
        <f t="shared" si="162"/>
        <v>1.8249153279797945</v>
      </c>
      <c r="V288" s="6">
        <f>ABS(U288/T288)</f>
        <v>0.29268692642758942</v>
      </c>
      <c r="W288" s="23"/>
      <c r="X288" s="23"/>
    </row>
    <row r="289" spans="1:24" x14ac:dyDescent="0.25">
      <c r="A289" s="28"/>
      <c r="B289" s="8">
        <v>-9</v>
      </c>
      <c r="C289" s="9">
        <v>1121</v>
      </c>
      <c r="D289" s="8">
        <v>400</v>
      </c>
      <c r="E289" s="6">
        <v>-77.078214887762584</v>
      </c>
      <c r="F289" s="6">
        <v>1.7796528165076533</v>
      </c>
      <c r="G289" s="6">
        <v>2.3088921027803952E-2</v>
      </c>
      <c r="H289" s="24"/>
      <c r="I289" s="24"/>
      <c r="J289" s="6">
        <f>E289+I286-I273</f>
        <v>-77.07697794293702</v>
      </c>
      <c r="K289" s="6">
        <f t="shared" si="158"/>
        <v>1.7795999242652294</v>
      </c>
      <c r="L289" s="6">
        <f t="shared" ref="L289:L298" si="173">ABS(K289/J289)</f>
        <v>2.3088605336638056E-2</v>
      </c>
      <c r="M289" s="24"/>
      <c r="N289" s="24"/>
      <c r="O289" s="6">
        <f>J289+N286-N273</f>
        <v>-77.073789514041479</v>
      </c>
      <c r="P289" s="6">
        <f t="shared" si="159"/>
        <v>1.7794635891386943</v>
      </c>
      <c r="Q289" s="6">
        <f t="shared" ref="Q289:Q298" si="174">ABS(P289/O289)</f>
        <v>2.3087791587236121E-2</v>
      </c>
      <c r="R289" s="24"/>
      <c r="S289" s="24"/>
      <c r="T289" s="6">
        <f>O289+S286-S273</f>
        <v>-77.072543890370412</v>
      </c>
      <c r="U289" s="6">
        <f t="shared" si="162"/>
        <v>1.7794103283935137</v>
      </c>
      <c r="V289" s="6">
        <f t="shared" ref="V289:V298" si="175">ABS(U289/T289)</f>
        <v>2.3087473678364424E-2</v>
      </c>
      <c r="W289" s="24"/>
      <c r="X289" s="24"/>
    </row>
    <row r="290" spans="1:24" x14ac:dyDescent="0.25">
      <c r="A290" s="29">
        <v>5</v>
      </c>
      <c r="B290" s="10">
        <v>13</v>
      </c>
      <c r="C290" s="11">
        <v>1020</v>
      </c>
      <c r="D290" s="10">
        <v>150</v>
      </c>
      <c r="E290" s="6">
        <v>6.2370944771210342</v>
      </c>
      <c r="F290" s="6">
        <v>1.8260279514167694</v>
      </c>
      <c r="G290" s="6">
        <v>0.29276900616385104</v>
      </c>
      <c r="H290" s="22">
        <f>F290+F291-F292-F293-F294</f>
        <v>-2.9238967289662021E-2</v>
      </c>
      <c r="I290" s="22">
        <f>-H290/(2*(G290+G291+G292+G293+G294))</f>
        <v>3.3319473561618684E-2</v>
      </c>
      <c r="J290" s="6">
        <f>E290+I290-I286</f>
        <v>6.2372611480802078</v>
      </c>
      <c r="K290" s="6">
        <f t="shared" si="158"/>
        <v>1.8261183228061966</v>
      </c>
      <c r="L290" s="6">
        <f t="shared" si="173"/>
        <v>0.29277567179759101</v>
      </c>
      <c r="M290" s="22">
        <f>K290+K291-K292-K293-K294</f>
        <v>-2.4373467005111227E-2</v>
      </c>
      <c r="N290" s="22">
        <f>-M290/(2*(L290+L291+L292+L293+L294))</f>
        <v>2.7774316412734278E-2</v>
      </c>
      <c r="O290" s="6">
        <f>J290+N290-N286</f>
        <v>6.2352456005634753</v>
      </c>
      <c r="P290" s="6">
        <f t="shared" si="159"/>
        <v>1.8250256019822575</v>
      </c>
      <c r="Q290" s="6">
        <f t="shared" si="174"/>
        <v>0.29269506269605983</v>
      </c>
      <c r="R290" s="22">
        <f>P290+P291-P292-P293-P294</f>
        <v>-2.1754093631936477E-2</v>
      </c>
      <c r="S290" s="22">
        <f>-R290/(2*(Q290+Q291+Q292+Q293+Q294))</f>
        <v>2.4793681305194704E-2</v>
      </c>
      <c r="T290" s="6">
        <f>O290+S290-S286</f>
        <v>6.2350421669116791</v>
      </c>
      <c r="U290" s="6">
        <f t="shared" si="162"/>
        <v>1.8249153279798012</v>
      </c>
      <c r="V290" s="6">
        <f t="shared" si="175"/>
        <v>0.2926869264275902</v>
      </c>
      <c r="W290" s="22">
        <f>U290+U291-U292-U293-U294</f>
        <v>-1.8352957826903271E-2</v>
      </c>
      <c r="X290" s="22">
        <f>-W290/(2*(V290+V291+V292+V293+V294))</f>
        <v>2.091756463180958E-2</v>
      </c>
    </row>
    <row r="291" spans="1:24" x14ac:dyDescent="0.25">
      <c r="A291" s="30"/>
      <c r="B291" s="5">
        <v>18</v>
      </c>
      <c r="C291" s="6">
        <v>651</v>
      </c>
      <c r="D291" s="5">
        <v>300</v>
      </c>
      <c r="E291" s="6">
        <v>63.326804423599555</v>
      </c>
      <c r="F291" s="6">
        <v>2.915446547437142</v>
      </c>
      <c r="G291" s="6">
        <v>4.6038112517653947E-2</v>
      </c>
      <c r="H291" s="23"/>
      <c r="I291" s="23"/>
      <c r="J291" s="6">
        <f>E291+I290</f>
        <v>63.360123897161174</v>
      </c>
      <c r="K291" s="6">
        <f t="shared" si="158"/>
        <v>2.9182880886082256</v>
      </c>
      <c r="L291" s="6">
        <f t="shared" si="173"/>
        <v>4.6058749716854301E-2</v>
      </c>
      <c r="M291" s="23"/>
      <c r="N291" s="23"/>
      <c r="O291" s="6">
        <f>J291+N290</f>
        <v>63.387898213573905</v>
      </c>
      <c r="P291" s="6">
        <f t="shared" si="159"/>
        <v>2.9206577025511176</v>
      </c>
      <c r="Q291" s="6">
        <f t="shared" si="174"/>
        <v>4.607595116516558E-2</v>
      </c>
      <c r="R291" s="23"/>
      <c r="S291" s="23"/>
      <c r="T291" s="6">
        <f>O291+S290</f>
        <v>63.412691894879103</v>
      </c>
      <c r="U291" s="6">
        <f t="shared" si="162"/>
        <v>2.9227737658935466</v>
      </c>
      <c r="V291" s="6">
        <f t="shared" si="175"/>
        <v>4.609130567645206E-2</v>
      </c>
      <c r="W291" s="23"/>
      <c r="X291" s="23"/>
    </row>
    <row r="292" spans="1:24" x14ac:dyDescent="0.25">
      <c r="A292" s="30"/>
      <c r="B292" s="14">
        <f>-15</f>
        <v>-15</v>
      </c>
      <c r="C292" s="15">
        <v>570</v>
      </c>
      <c r="D292" s="14">
        <v>300</v>
      </c>
      <c r="E292" s="6">
        <v>-49.145933821351903</v>
      </c>
      <c r="F292" s="6">
        <v>1.5962238078987503</v>
      </c>
      <c r="G292" s="6">
        <v>3.2479264992727762E-2</v>
      </c>
      <c r="H292" s="23"/>
      <c r="I292" s="23"/>
      <c r="J292" s="6">
        <f>E292+I290-I295</f>
        <v>-49.120380197830606</v>
      </c>
      <c r="K292" s="6">
        <f t="shared" si="158"/>
        <v>1.5946870570647274</v>
      </c>
      <c r="L292" s="6">
        <f t="shared" si="173"/>
        <v>3.2464876099129958E-2</v>
      </c>
      <c r="M292" s="23"/>
      <c r="N292" s="23"/>
      <c r="O292" s="6">
        <f>J292+N290-N295</f>
        <v>-49.099544489621891</v>
      </c>
      <c r="P292" s="6">
        <f t="shared" si="159"/>
        <v>1.5934345375141854</v>
      </c>
      <c r="Q292" s="6">
        <f t="shared" si="174"/>
        <v>3.2453142978770153E-2</v>
      </c>
      <c r="R292" s="23"/>
      <c r="S292" s="23"/>
      <c r="T292" s="6">
        <f>O292+S290-S295</f>
        <v>-49.080612339244865</v>
      </c>
      <c r="U292" s="6">
        <f t="shared" si="162"/>
        <v>1.5922968412122851</v>
      </c>
      <c r="V292" s="6">
        <f t="shared" si="175"/>
        <v>3.2442481161529528E-2</v>
      </c>
      <c r="W292" s="23"/>
      <c r="X292" s="23"/>
    </row>
    <row r="293" spans="1:24" x14ac:dyDescent="0.25">
      <c r="A293" s="30"/>
      <c r="B293" s="18">
        <v>-14</v>
      </c>
      <c r="C293" s="19">
        <v>460</v>
      </c>
      <c r="D293" s="18">
        <v>500</v>
      </c>
      <c r="E293" s="6">
        <v>-131.61757548178241</v>
      </c>
      <c r="F293" s="6">
        <v>0.66360194102179426</v>
      </c>
      <c r="G293" s="6">
        <v>5.04189458431139E-3</v>
      </c>
      <c r="H293" s="23"/>
      <c r="I293" s="23"/>
      <c r="J293" s="6">
        <f>E293+I290-I281</f>
        <v>-131.59382107778075</v>
      </c>
      <c r="K293" s="6">
        <f t="shared" si="158"/>
        <v>0.66338014921960342</v>
      </c>
      <c r="L293" s="6">
        <f t="shared" si="173"/>
        <v>5.0411192849814839E-3</v>
      </c>
      <c r="M293" s="23"/>
      <c r="N293" s="23"/>
      <c r="O293" s="6">
        <f>J293+N290-N281</f>
        <v>-131.5741224691341</v>
      </c>
      <c r="P293" s="6">
        <f t="shared" si="159"/>
        <v>0.66319625172484531</v>
      </c>
      <c r="Q293" s="6">
        <f t="shared" si="174"/>
        <v>5.0404763435182645E-3</v>
      </c>
      <c r="R293" s="23"/>
      <c r="S293" s="23"/>
      <c r="T293" s="6">
        <f>O293+S290-S281</f>
        <v>-131.55647821952851</v>
      </c>
      <c r="U293" s="6">
        <f t="shared" si="162"/>
        <v>0.66303155273131631</v>
      </c>
      <c r="V293" s="6">
        <f t="shared" si="175"/>
        <v>5.0399004420361151E-3</v>
      </c>
      <c r="W293" s="23"/>
      <c r="X293" s="23"/>
    </row>
    <row r="294" spans="1:24" x14ac:dyDescent="0.25">
      <c r="A294" s="31"/>
      <c r="B294" s="20">
        <v>-10</v>
      </c>
      <c r="C294" s="21">
        <v>1300</v>
      </c>
      <c r="D294" s="20">
        <v>300</v>
      </c>
      <c r="E294" s="6">
        <v>-40.213666029160891</v>
      </c>
      <c r="F294" s="6">
        <v>2.5108877172230288</v>
      </c>
      <c r="G294" s="6">
        <v>6.2438667377459733E-2</v>
      </c>
      <c r="H294" s="24"/>
      <c r="I294" s="24"/>
      <c r="J294" s="6">
        <f>E294+I290-I277</f>
        <v>-40.212152250828325</v>
      </c>
      <c r="K294" s="6">
        <f t="shared" si="158"/>
        <v>2.5107126721352024</v>
      </c>
      <c r="L294" s="6">
        <f t="shared" si="173"/>
        <v>6.243666482893824E-2</v>
      </c>
      <c r="M294" s="24"/>
      <c r="N294" s="24"/>
      <c r="O294" s="6">
        <f>J294+N290-N277</f>
        <v>-40.212964616015768</v>
      </c>
      <c r="P294" s="6">
        <f t="shared" si="159"/>
        <v>2.5108066089262806</v>
      </c>
      <c r="Q294" s="6">
        <f t="shared" si="174"/>
        <v>6.243773949275782E-2</v>
      </c>
      <c r="R294" s="24"/>
      <c r="S294" s="24"/>
      <c r="T294" s="6">
        <f>O294+S290-S277</f>
        <v>-40.212160774553276</v>
      </c>
      <c r="U294" s="6">
        <f t="shared" si="162"/>
        <v>2.5107136577566496</v>
      </c>
      <c r="V294" s="6">
        <f t="shared" si="175"/>
        <v>6.2436676104842853E-2</v>
      </c>
      <c r="W294" s="24"/>
      <c r="X294" s="24"/>
    </row>
    <row r="295" spans="1:24" x14ac:dyDescent="0.25">
      <c r="A295" s="28">
        <v>6</v>
      </c>
      <c r="B295" s="14">
        <v>15</v>
      </c>
      <c r="C295" s="15">
        <v>570</v>
      </c>
      <c r="D295" s="14">
        <v>300</v>
      </c>
      <c r="E295" s="6">
        <v>49.145933821351917</v>
      </c>
      <c r="F295" s="6">
        <v>1.5962238078987503</v>
      </c>
      <c r="G295" s="6">
        <v>3.2479264992727755E-2</v>
      </c>
      <c r="H295" s="22">
        <f>F295+F296-F297-F298</f>
        <v>-6.8931400743559301E-3</v>
      </c>
      <c r="I295" s="22">
        <f>-H295/(2*(G295+G296+G297+G298))</f>
        <v>7.7658500403200723E-3</v>
      </c>
      <c r="J295" s="6">
        <f>E295+I295-I290</f>
        <v>49.12038019783062</v>
      </c>
      <c r="K295" s="6">
        <f t="shared" si="158"/>
        <v>1.5946870570647282</v>
      </c>
      <c r="L295" s="6">
        <f t="shared" si="173"/>
        <v>3.2464876099129965E-2</v>
      </c>
      <c r="M295" s="22">
        <f>K295+K296-K297-K298</f>
        <v>-6.1594674953622253E-3</v>
      </c>
      <c r="N295" s="22">
        <f>-M295/(2*(L295+L296+L297+L298))</f>
        <v>6.93860820401653E-3</v>
      </c>
      <c r="O295" s="6">
        <f>J295+N295-N290</f>
        <v>49.099544489621906</v>
      </c>
      <c r="P295" s="6">
        <f t="shared" si="159"/>
        <v>1.5934345375141854</v>
      </c>
      <c r="Q295" s="6">
        <f t="shared" si="174"/>
        <v>3.2453142978770146E-2</v>
      </c>
      <c r="R295" s="22">
        <f>P295+P296-P297-P298</f>
        <v>-5.2037298356388817E-3</v>
      </c>
      <c r="S295" s="22">
        <f>-R295/(2*(Q295+Q296+Q297+Q298))</f>
        <v>5.8615309281687573E-3</v>
      </c>
      <c r="T295" s="6">
        <f>O295+S295-S290</f>
        <v>49.08061233924488</v>
      </c>
      <c r="U295" s="6">
        <f t="shared" si="162"/>
        <v>1.5922968412122851</v>
      </c>
      <c r="V295" s="6">
        <f t="shared" si="175"/>
        <v>3.2442481161529514E-2</v>
      </c>
      <c r="W295" s="22">
        <f>U295+U296-U297-U298</f>
        <v>-4.6004731943289912E-3</v>
      </c>
      <c r="X295" s="22">
        <f>-W295/(2*(V295+V296+V297+V298))</f>
        <v>5.1816414869098838E-3</v>
      </c>
    </row>
    <row r="296" spans="1:24" x14ac:dyDescent="0.25">
      <c r="A296" s="28"/>
      <c r="B296" s="5">
        <v>19</v>
      </c>
      <c r="C296" s="6">
        <v>791</v>
      </c>
      <c r="D296" s="5">
        <v>200</v>
      </c>
      <c r="E296" s="6">
        <v>18.442738244951457</v>
      </c>
      <c r="F296" s="6">
        <v>2.5979660372771507</v>
      </c>
      <c r="G296" s="6">
        <v>0.14086661117083965</v>
      </c>
      <c r="H296" s="23"/>
      <c r="I296" s="23"/>
      <c r="J296" s="6">
        <f>E296+I295</f>
        <v>18.450504094991778</v>
      </c>
      <c r="K296" s="6">
        <f t="shared" si="158"/>
        <v>2.5999923941989604</v>
      </c>
      <c r="L296" s="6">
        <f t="shared" si="173"/>
        <v>0.14091714680601625</v>
      </c>
      <c r="M296" s="23"/>
      <c r="N296" s="23"/>
      <c r="O296" s="6">
        <f>J296+N295</f>
        <v>18.457442703195795</v>
      </c>
      <c r="P296" s="6">
        <f t="shared" si="159"/>
        <v>2.6018035122446439</v>
      </c>
      <c r="Q296" s="6">
        <f t="shared" si="174"/>
        <v>0.14096229656961942</v>
      </c>
      <c r="R296" s="23"/>
      <c r="S296" s="23"/>
      <c r="T296" s="6">
        <f>O296+S295</f>
        <v>18.463304234123964</v>
      </c>
      <c r="U296" s="6">
        <f t="shared" si="162"/>
        <v>2.6033339432601723</v>
      </c>
      <c r="V296" s="6">
        <f t="shared" si="175"/>
        <v>0.14100043579678867</v>
      </c>
      <c r="W296" s="23"/>
      <c r="X296" s="23"/>
    </row>
    <row r="297" spans="1:24" x14ac:dyDescent="0.25">
      <c r="A297" s="28"/>
      <c r="B297" s="5">
        <v>-16</v>
      </c>
      <c r="C297" s="6">
        <v>284</v>
      </c>
      <c r="D297" s="5">
        <v>200</v>
      </c>
      <c r="E297" s="6">
        <v>-24.60726175504854</v>
      </c>
      <c r="F297" s="6">
        <v>1.5911674713911126</v>
      </c>
      <c r="G297" s="6">
        <v>6.4662516586782001E-2</v>
      </c>
      <c r="H297" s="23"/>
      <c r="I297" s="23"/>
      <c r="J297" s="6">
        <f>E297+I295</f>
        <v>-24.599495905008219</v>
      </c>
      <c r="K297" s="6">
        <f t="shared" si="158"/>
        <v>1.5902375972022722</v>
      </c>
      <c r="L297" s="6">
        <f t="shared" si="173"/>
        <v>6.4645129450742744E-2</v>
      </c>
      <c r="M297" s="23"/>
      <c r="N297" s="23"/>
      <c r="O297" s="6">
        <f>J297+N295</f>
        <v>-24.592557296804202</v>
      </c>
      <c r="P297" s="6">
        <f t="shared" si="159"/>
        <v>1.5894069875590213</v>
      </c>
      <c r="Q297" s="6">
        <f t="shared" si="174"/>
        <v>6.462959375784659E-2</v>
      </c>
      <c r="R297" s="23"/>
      <c r="S297" s="23"/>
      <c r="T297" s="6">
        <f>O297+S295</f>
        <v>-24.586695765876033</v>
      </c>
      <c r="U297" s="6">
        <f t="shared" si="162"/>
        <v>1.5887054686683137</v>
      </c>
      <c r="V297" s="6">
        <f t="shared" si="175"/>
        <v>6.461646915862862E-2</v>
      </c>
      <c r="W297" s="23"/>
      <c r="X297" s="23"/>
    </row>
    <row r="298" spans="1:24" x14ac:dyDescent="0.25">
      <c r="A298" s="28"/>
      <c r="B298" s="16">
        <v>-11</v>
      </c>
      <c r="C298" s="17">
        <v>1590</v>
      </c>
      <c r="D298" s="16">
        <v>200</v>
      </c>
      <c r="E298" s="6">
        <v>-12.681641660430476</v>
      </c>
      <c r="F298" s="6">
        <v>2.6099155138591441</v>
      </c>
      <c r="G298" s="6">
        <v>0.20580265424173411</v>
      </c>
      <c r="H298" s="24"/>
      <c r="I298" s="24"/>
      <c r="J298" s="6">
        <f>E298+I295-I281</f>
        <v>-12.683440879950105</v>
      </c>
      <c r="K298" s="6">
        <f t="shared" si="158"/>
        <v>2.6106013215567785</v>
      </c>
      <c r="L298" s="6">
        <f t="shared" si="173"/>
        <v>0.20582753105141988</v>
      </c>
      <c r="M298" s="24"/>
      <c r="N298" s="24"/>
      <c r="O298" s="6">
        <f>J298+N295-N281</f>
        <v>-12.684577979512184</v>
      </c>
      <c r="P298" s="6">
        <f t="shared" si="159"/>
        <v>2.6110347920354471</v>
      </c>
      <c r="Q298" s="6">
        <f t="shared" si="174"/>
        <v>0.20584325282659979</v>
      </c>
      <c r="R298" s="24"/>
      <c r="S298" s="24"/>
      <c r="T298" s="6">
        <f>O298+S295-S281</f>
        <v>-12.68586588028362</v>
      </c>
      <c r="U298" s="6">
        <f t="shared" si="162"/>
        <v>2.6115257889984722</v>
      </c>
      <c r="V298" s="6">
        <f t="shared" si="175"/>
        <v>0.20586105935877086</v>
      </c>
      <c r="W298" s="24"/>
      <c r="X298" s="24"/>
    </row>
  </sheetData>
  <mergeCells count="700">
    <mergeCell ref="A295:A298"/>
    <mergeCell ref="H295:H298"/>
    <mergeCell ref="I295:I298"/>
    <mergeCell ref="M295:M298"/>
    <mergeCell ref="N295:N298"/>
    <mergeCell ref="R295:R298"/>
    <mergeCell ref="S295:S298"/>
    <mergeCell ref="W295:W298"/>
    <mergeCell ref="X295:X298"/>
    <mergeCell ref="A290:A294"/>
    <mergeCell ref="H290:H294"/>
    <mergeCell ref="I290:I294"/>
    <mergeCell ref="M290:M294"/>
    <mergeCell ref="N290:N294"/>
    <mergeCell ref="R290:R294"/>
    <mergeCell ref="S290:S294"/>
    <mergeCell ref="W290:W294"/>
    <mergeCell ref="X290:X294"/>
    <mergeCell ref="A286:A289"/>
    <mergeCell ref="H286:H289"/>
    <mergeCell ref="I286:I289"/>
    <mergeCell ref="M286:M289"/>
    <mergeCell ref="N286:N289"/>
    <mergeCell ref="R286:R289"/>
    <mergeCell ref="S286:S289"/>
    <mergeCell ref="W286:W289"/>
    <mergeCell ref="X286:X289"/>
    <mergeCell ref="A281:A285"/>
    <mergeCell ref="H281:H285"/>
    <mergeCell ref="I281:I285"/>
    <mergeCell ref="M281:M285"/>
    <mergeCell ref="N281:N285"/>
    <mergeCell ref="R281:R285"/>
    <mergeCell ref="S281:S285"/>
    <mergeCell ref="W281:W285"/>
    <mergeCell ref="X281:X285"/>
    <mergeCell ref="A277:A280"/>
    <mergeCell ref="H277:H280"/>
    <mergeCell ref="I277:I280"/>
    <mergeCell ref="M277:M280"/>
    <mergeCell ref="N277:N280"/>
    <mergeCell ref="R277:R280"/>
    <mergeCell ref="S277:S280"/>
    <mergeCell ref="W277:W280"/>
    <mergeCell ref="X277:X280"/>
    <mergeCell ref="X271:X272"/>
    <mergeCell ref="A273:A276"/>
    <mergeCell ref="H273:H276"/>
    <mergeCell ref="I273:I276"/>
    <mergeCell ref="M273:M276"/>
    <mergeCell ref="N273:N276"/>
    <mergeCell ref="R273:R276"/>
    <mergeCell ref="S273:S276"/>
    <mergeCell ref="W273:W276"/>
    <mergeCell ref="X273:X276"/>
    <mergeCell ref="A271:A272"/>
    <mergeCell ref="B271:B272"/>
    <mergeCell ref="C271:C272"/>
    <mergeCell ref="D271:D272"/>
    <mergeCell ref="E271:G271"/>
    <mergeCell ref="H271:H272"/>
    <mergeCell ref="I271:I272"/>
    <mergeCell ref="J271:L271"/>
    <mergeCell ref="M271:M272"/>
    <mergeCell ref="A265:A268"/>
    <mergeCell ref="H265:H268"/>
    <mergeCell ref="I265:I268"/>
    <mergeCell ref="M265:M268"/>
    <mergeCell ref="N265:N268"/>
    <mergeCell ref="R265:R268"/>
    <mergeCell ref="S265:S268"/>
    <mergeCell ref="W265:W268"/>
    <mergeCell ref="N271:N272"/>
    <mergeCell ref="O271:Q271"/>
    <mergeCell ref="R271:R272"/>
    <mergeCell ref="S271:S272"/>
    <mergeCell ref="T271:V271"/>
    <mergeCell ref="W271:W272"/>
    <mergeCell ref="X265:X268"/>
    <mergeCell ref="A260:A264"/>
    <mergeCell ref="H260:H264"/>
    <mergeCell ref="I260:I264"/>
    <mergeCell ref="M260:M264"/>
    <mergeCell ref="N260:N264"/>
    <mergeCell ref="R260:R264"/>
    <mergeCell ref="S260:S264"/>
    <mergeCell ref="W260:W264"/>
    <mergeCell ref="X260:X264"/>
    <mergeCell ref="A256:A259"/>
    <mergeCell ref="H256:H259"/>
    <mergeCell ref="I256:I259"/>
    <mergeCell ref="M256:M259"/>
    <mergeCell ref="N256:N259"/>
    <mergeCell ref="R256:R259"/>
    <mergeCell ref="S256:S259"/>
    <mergeCell ref="W256:W259"/>
    <mergeCell ref="X256:X259"/>
    <mergeCell ref="A251:A255"/>
    <mergeCell ref="H251:H255"/>
    <mergeCell ref="I251:I255"/>
    <mergeCell ref="M251:M255"/>
    <mergeCell ref="N251:N255"/>
    <mergeCell ref="R251:R255"/>
    <mergeCell ref="S251:S255"/>
    <mergeCell ref="W251:W255"/>
    <mergeCell ref="X251:X255"/>
    <mergeCell ref="A247:A250"/>
    <mergeCell ref="H247:H250"/>
    <mergeCell ref="I247:I250"/>
    <mergeCell ref="M247:M250"/>
    <mergeCell ref="N247:N250"/>
    <mergeCell ref="R247:R250"/>
    <mergeCell ref="S247:S250"/>
    <mergeCell ref="W247:W250"/>
    <mergeCell ref="X247:X250"/>
    <mergeCell ref="X241:X242"/>
    <mergeCell ref="A243:A246"/>
    <mergeCell ref="H243:H246"/>
    <mergeCell ref="I243:I246"/>
    <mergeCell ref="M243:M246"/>
    <mergeCell ref="N243:N246"/>
    <mergeCell ref="R243:R246"/>
    <mergeCell ref="S243:S246"/>
    <mergeCell ref="W243:W246"/>
    <mergeCell ref="X243:X246"/>
    <mergeCell ref="A241:A242"/>
    <mergeCell ref="B241:B242"/>
    <mergeCell ref="C241:C242"/>
    <mergeCell ref="D241:D242"/>
    <mergeCell ref="E241:G241"/>
    <mergeCell ref="H241:H242"/>
    <mergeCell ref="I241:I242"/>
    <mergeCell ref="J241:L241"/>
    <mergeCell ref="M241:M242"/>
    <mergeCell ref="A235:A238"/>
    <mergeCell ref="H235:H238"/>
    <mergeCell ref="I235:I238"/>
    <mergeCell ref="M235:M238"/>
    <mergeCell ref="N235:N238"/>
    <mergeCell ref="R235:R238"/>
    <mergeCell ref="S235:S238"/>
    <mergeCell ref="W235:W238"/>
    <mergeCell ref="N241:N242"/>
    <mergeCell ref="O241:Q241"/>
    <mergeCell ref="R241:R242"/>
    <mergeCell ref="S241:S242"/>
    <mergeCell ref="T241:V241"/>
    <mergeCell ref="W241:W242"/>
    <mergeCell ref="X235:X238"/>
    <mergeCell ref="A230:A234"/>
    <mergeCell ref="H230:H234"/>
    <mergeCell ref="I230:I234"/>
    <mergeCell ref="M230:M234"/>
    <mergeCell ref="N230:N234"/>
    <mergeCell ref="R230:R234"/>
    <mergeCell ref="S230:S234"/>
    <mergeCell ref="W230:W234"/>
    <mergeCell ref="X230:X234"/>
    <mergeCell ref="A226:A229"/>
    <mergeCell ref="H226:H229"/>
    <mergeCell ref="I226:I229"/>
    <mergeCell ref="M226:M229"/>
    <mergeCell ref="N226:N229"/>
    <mergeCell ref="R226:R229"/>
    <mergeCell ref="S226:S229"/>
    <mergeCell ref="W226:W229"/>
    <mergeCell ref="X226:X229"/>
    <mergeCell ref="A221:A225"/>
    <mergeCell ref="H221:H225"/>
    <mergeCell ref="I221:I225"/>
    <mergeCell ref="M221:M225"/>
    <mergeCell ref="N221:N225"/>
    <mergeCell ref="R221:R225"/>
    <mergeCell ref="S221:S225"/>
    <mergeCell ref="W221:W225"/>
    <mergeCell ref="X221:X225"/>
    <mergeCell ref="A217:A220"/>
    <mergeCell ref="H217:H220"/>
    <mergeCell ref="I217:I220"/>
    <mergeCell ref="M217:M220"/>
    <mergeCell ref="N217:N220"/>
    <mergeCell ref="R217:R220"/>
    <mergeCell ref="S217:S220"/>
    <mergeCell ref="W217:W220"/>
    <mergeCell ref="X217:X220"/>
    <mergeCell ref="X211:X212"/>
    <mergeCell ref="A213:A216"/>
    <mergeCell ref="H213:H216"/>
    <mergeCell ref="I213:I216"/>
    <mergeCell ref="M213:M216"/>
    <mergeCell ref="N213:N216"/>
    <mergeCell ref="R213:R216"/>
    <mergeCell ref="S213:S216"/>
    <mergeCell ref="W213:W216"/>
    <mergeCell ref="X213:X216"/>
    <mergeCell ref="A211:A212"/>
    <mergeCell ref="B211:B212"/>
    <mergeCell ref="C211:C212"/>
    <mergeCell ref="D211:D212"/>
    <mergeCell ref="E211:G211"/>
    <mergeCell ref="H211:H212"/>
    <mergeCell ref="I211:I212"/>
    <mergeCell ref="J211:L211"/>
    <mergeCell ref="M211:M212"/>
    <mergeCell ref="A205:A208"/>
    <mergeCell ref="H205:H208"/>
    <mergeCell ref="I205:I208"/>
    <mergeCell ref="M205:M208"/>
    <mergeCell ref="N205:N208"/>
    <mergeCell ref="R205:R208"/>
    <mergeCell ref="S205:S208"/>
    <mergeCell ref="W205:W208"/>
    <mergeCell ref="N211:N212"/>
    <mergeCell ref="O211:Q211"/>
    <mergeCell ref="R211:R212"/>
    <mergeCell ref="S211:S212"/>
    <mergeCell ref="T211:V211"/>
    <mergeCell ref="W211:W212"/>
    <mergeCell ref="X205:X208"/>
    <mergeCell ref="A200:A204"/>
    <mergeCell ref="H200:H204"/>
    <mergeCell ref="I200:I204"/>
    <mergeCell ref="M200:M204"/>
    <mergeCell ref="N200:N204"/>
    <mergeCell ref="R200:R204"/>
    <mergeCell ref="S200:S204"/>
    <mergeCell ref="W200:W204"/>
    <mergeCell ref="X200:X204"/>
    <mergeCell ref="A196:A199"/>
    <mergeCell ref="H196:H199"/>
    <mergeCell ref="I196:I199"/>
    <mergeCell ref="M196:M199"/>
    <mergeCell ref="N196:N199"/>
    <mergeCell ref="R196:R199"/>
    <mergeCell ref="S196:S199"/>
    <mergeCell ref="W196:W199"/>
    <mergeCell ref="X196:X199"/>
    <mergeCell ref="A191:A195"/>
    <mergeCell ref="H191:H195"/>
    <mergeCell ref="I191:I195"/>
    <mergeCell ref="M191:M195"/>
    <mergeCell ref="N191:N195"/>
    <mergeCell ref="R191:R195"/>
    <mergeCell ref="S191:S195"/>
    <mergeCell ref="W191:W195"/>
    <mergeCell ref="X191:X195"/>
    <mergeCell ref="A187:A190"/>
    <mergeCell ref="H187:H190"/>
    <mergeCell ref="I187:I190"/>
    <mergeCell ref="M187:M190"/>
    <mergeCell ref="N187:N190"/>
    <mergeCell ref="R187:R190"/>
    <mergeCell ref="S187:S190"/>
    <mergeCell ref="W187:W190"/>
    <mergeCell ref="X187:X190"/>
    <mergeCell ref="X181:X182"/>
    <mergeCell ref="A183:A186"/>
    <mergeCell ref="H183:H186"/>
    <mergeCell ref="I183:I186"/>
    <mergeCell ref="M183:M186"/>
    <mergeCell ref="N183:N186"/>
    <mergeCell ref="R183:R186"/>
    <mergeCell ref="S183:S186"/>
    <mergeCell ref="W183:W186"/>
    <mergeCell ref="X183:X186"/>
    <mergeCell ref="A181:A182"/>
    <mergeCell ref="B181:B182"/>
    <mergeCell ref="C181:C182"/>
    <mergeCell ref="D181:D182"/>
    <mergeCell ref="E181:G181"/>
    <mergeCell ref="H181:H182"/>
    <mergeCell ref="I181:I182"/>
    <mergeCell ref="J181:L181"/>
    <mergeCell ref="M181:M182"/>
    <mergeCell ref="A175:A178"/>
    <mergeCell ref="H175:H178"/>
    <mergeCell ref="I175:I178"/>
    <mergeCell ref="M175:M178"/>
    <mergeCell ref="N175:N178"/>
    <mergeCell ref="R175:R178"/>
    <mergeCell ref="S175:S178"/>
    <mergeCell ref="W175:W178"/>
    <mergeCell ref="N181:N182"/>
    <mergeCell ref="O181:Q181"/>
    <mergeCell ref="R181:R182"/>
    <mergeCell ref="S181:S182"/>
    <mergeCell ref="T181:V181"/>
    <mergeCell ref="W181:W182"/>
    <mergeCell ref="X175:X178"/>
    <mergeCell ref="A170:A174"/>
    <mergeCell ref="H170:H174"/>
    <mergeCell ref="I170:I174"/>
    <mergeCell ref="M170:M174"/>
    <mergeCell ref="N170:N174"/>
    <mergeCell ref="R170:R174"/>
    <mergeCell ref="S170:S174"/>
    <mergeCell ref="W170:W174"/>
    <mergeCell ref="X170:X174"/>
    <mergeCell ref="A166:A169"/>
    <mergeCell ref="H166:H169"/>
    <mergeCell ref="I166:I169"/>
    <mergeCell ref="M166:M169"/>
    <mergeCell ref="N166:N169"/>
    <mergeCell ref="R166:R169"/>
    <mergeCell ref="S166:S169"/>
    <mergeCell ref="W166:W169"/>
    <mergeCell ref="X166:X169"/>
    <mergeCell ref="A161:A165"/>
    <mergeCell ref="H161:H165"/>
    <mergeCell ref="I161:I165"/>
    <mergeCell ref="M161:M165"/>
    <mergeCell ref="N161:N165"/>
    <mergeCell ref="R161:R165"/>
    <mergeCell ref="S161:S165"/>
    <mergeCell ref="W161:W165"/>
    <mergeCell ref="X161:X165"/>
    <mergeCell ref="A157:A160"/>
    <mergeCell ref="H157:H160"/>
    <mergeCell ref="I157:I160"/>
    <mergeCell ref="M157:M160"/>
    <mergeCell ref="N157:N160"/>
    <mergeCell ref="R157:R160"/>
    <mergeCell ref="S157:S160"/>
    <mergeCell ref="W157:W160"/>
    <mergeCell ref="X157:X160"/>
    <mergeCell ref="X151:X152"/>
    <mergeCell ref="A153:A156"/>
    <mergeCell ref="H153:H156"/>
    <mergeCell ref="I153:I156"/>
    <mergeCell ref="M153:M156"/>
    <mergeCell ref="N153:N156"/>
    <mergeCell ref="R153:R156"/>
    <mergeCell ref="S153:S156"/>
    <mergeCell ref="W153:W156"/>
    <mergeCell ref="X153:X156"/>
    <mergeCell ref="A151:A152"/>
    <mergeCell ref="B151:B152"/>
    <mergeCell ref="C151:C152"/>
    <mergeCell ref="D151:D152"/>
    <mergeCell ref="E151:G151"/>
    <mergeCell ref="H151:H152"/>
    <mergeCell ref="I151:I152"/>
    <mergeCell ref="J151:L151"/>
    <mergeCell ref="M151:M152"/>
    <mergeCell ref="A145:A148"/>
    <mergeCell ref="H145:H148"/>
    <mergeCell ref="I145:I148"/>
    <mergeCell ref="M145:M148"/>
    <mergeCell ref="N145:N148"/>
    <mergeCell ref="R145:R148"/>
    <mergeCell ref="S145:S148"/>
    <mergeCell ref="W145:W148"/>
    <mergeCell ref="N151:N152"/>
    <mergeCell ref="O151:Q151"/>
    <mergeCell ref="R151:R152"/>
    <mergeCell ref="S151:S152"/>
    <mergeCell ref="T151:V151"/>
    <mergeCell ref="W151:W152"/>
    <mergeCell ref="X145:X148"/>
    <mergeCell ref="A140:A144"/>
    <mergeCell ref="H140:H144"/>
    <mergeCell ref="I140:I144"/>
    <mergeCell ref="M140:M144"/>
    <mergeCell ref="N140:N144"/>
    <mergeCell ref="R140:R144"/>
    <mergeCell ref="S140:S144"/>
    <mergeCell ref="W140:W144"/>
    <mergeCell ref="X140:X144"/>
    <mergeCell ref="A136:A139"/>
    <mergeCell ref="H136:H139"/>
    <mergeCell ref="I136:I139"/>
    <mergeCell ref="M136:M139"/>
    <mergeCell ref="N136:N139"/>
    <mergeCell ref="R136:R139"/>
    <mergeCell ref="S136:S139"/>
    <mergeCell ref="W136:W139"/>
    <mergeCell ref="X136:X139"/>
    <mergeCell ref="A131:A135"/>
    <mergeCell ref="H131:H135"/>
    <mergeCell ref="I131:I135"/>
    <mergeCell ref="M131:M135"/>
    <mergeCell ref="N131:N135"/>
    <mergeCell ref="R131:R135"/>
    <mergeCell ref="S131:S135"/>
    <mergeCell ref="W131:W135"/>
    <mergeCell ref="X131:X135"/>
    <mergeCell ref="A127:A130"/>
    <mergeCell ref="H127:H130"/>
    <mergeCell ref="I127:I130"/>
    <mergeCell ref="M127:M130"/>
    <mergeCell ref="N127:N130"/>
    <mergeCell ref="R127:R130"/>
    <mergeCell ref="S127:S130"/>
    <mergeCell ref="W127:W130"/>
    <mergeCell ref="X127:X130"/>
    <mergeCell ref="A123:A126"/>
    <mergeCell ref="H123:H126"/>
    <mergeCell ref="I123:I126"/>
    <mergeCell ref="M123:M126"/>
    <mergeCell ref="N123:N126"/>
    <mergeCell ref="R123:R126"/>
    <mergeCell ref="S123:S126"/>
    <mergeCell ref="W123:W126"/>
    <mergeCell ref="X123:X126"/>
    <mergeCell ref="J121:L121"/>
    <mergeCell ref="M121:M122"/>
    <mergeCell ref="N121:N122"/>
    <mergeCell ref="O121:Q121"/>
    <mergeCell ref="R121:R122"/>
    <mergeCell ref="S121:S122"/>
    <mergeCell ref="T121:V121"/>
    <mergeCell ref="W121:W122"/>
    <mergeCell ref="X121:X122"/>
    <mergeCell ref="H7:H10"/>
    <mergeCell ref="I7:I10"/>
    <mergeCell ref="A1:A2"/>
    <mergeCell ref="B1:B2"/>
    <mergeCell ref="C1:C2"/>
    <mergeCell ref="D1:D2"/>
    <mergeCell ref="E1:G1"/>
    <mergeCell ref="H1:H2"/>
    <mergeCell ref="A121:A122"/>
    <mergeCell ref="B121:B122"/>
    <mergeCell ref="C121:C122"/>
    <mergeCell ref="D121:D122"/>
    <mergeCell ref="E121:G121"/>
    <mergeCell ref="H121:H122"/>
    <mergeCell ref="I121:I122"/>
    <mergeCell ref="H50:H54"/>
    <mergeCell ref="I50:I54"/>
    <mergeCell ref="H55:H58"/>
    <mergeCell ref="I55:I58"/>
    <mergeCell ref="H33:H36"/>
    <mergeCell ref="I33:I36"/>
    <mergeCell ref="H37:H40"/>
    <mergeCell ref="I37:I40"/>
    <mergeCell ref="H41:H45"/>
    <mergeCell ref="J1:L1"/>
    <mergeCell ref="M1:M2"/>
    <mergeCell ref="N1:N2"/>
    <mergeCell ref="M3:M6"/>
    <mergeCell ref="N3:N6"/>
    <mergeCell ref="M7:M10"/>
    <mergeCell ref="N7:N10"/>
    <mergeCell ref="A25:A28"/>
    <mergeCell ref="H25:H28"/>
    <mergeCell ref="I25:I28"/>
    <mergeCell ref="A20:A24"/>
    <mergeCell ref="H20:H24"/>
    <mergeCell ref="I20:I24"/>
    <mergeCell ref="A11:A15"/>
    <mergeCell ref="H11:H15"/>
    <mergeCell ref="I11:I15"/>
    <mergeCell ref="A16:A19"/>
    <mergeCell ref="H16:H19"/>
    <mergeCell ref="I16:I19"/>
    <mergeCell ref="I1:I2"/>
    <mergeCell ref="A3:A6"/>
    <mergeCell ref="H3:H6"/>
    <mergeCell ref="I3:I6"/>
    <mergeCell ref="A7:A10"/>
    <mergeCell ref="O1:Q1"/>
    <mergeCell ref="R1:R2"/>
    <mergeCell ref="S1:S2"/>
    <mergeCell ref="R3:R6"/>
    <mergeCell ref="S3:S6"/>
    <mergeCell ref="S7:S10"/>
    <mergeCell ref="S11:S15"/>
    <mergeCell ref="S16:S19"/>
    <mergeCell ref="M20:M24"/>
    <mergeCell ref="N20:N24"/>
    <mergeCell ref="R7:R10"/>
    <mergeCell ref="R11:R15"/>
    <mergeCell ref="R16:R19"/>
    <mergeCell ref="M11:M15"/>
    <mergeCell ref="N11:N15"/>
    <mergeCell ref="M16:M19"/>
    <mergeCell ref="N16:N19"/>
    <mergeCell ref="X1:X2"/>
    <mergeCell ref="W3:W6"/>
    <mergeCell ref="X3:X6"/>
    <mergeCell ref="W7:W10"/>
    <mergeCell ref="X7:X10"/>
    <mergeCell ref="W11:W15"/>
    <mergeCell ref="X11:X15"/>
    <mergeCell ref="R20:R24"/>
    <mergeCell ref="S20:S24"/>
    <mergeCell ref="T1:V1"/>
    <mergeCell ref="W1:W2"/>
    <mergeCell ref="W16:W19"/>
    <mergeCell ref="X16:X19"/>
    <mergeCell ref="W20:W24"/>
    <mergeCell ref="X20:X24"/>
    <mergeCell ref="W25:W28"/>
    <mergeCell ref="X25:X28"/>
    <mergeCell ref="B31:B32"/>
    <mergeCell ref="C31:C32"/>
    <mergeCell ref="D31:D32"/>
    <mergeCell ref="E31:G31"/>
    <mergeCell ref="H31:H32"/>
    <mergeCell ref="R25:R28"/>
    <mergeCell ref="S25:S28"/>
    <mergeCell ref="M25:M28"/>
    <mergeCell ref="N25:N28"/>
    <mergeCell ref="I31:I32"/>
    <mergeCell ref="I41:I45"/>
    <mergeCell ref="J31:L31"/>
    <mergeCell ref="M31:M32"/>
    <mergeCell ref="N31:N32"/>
    <mergeCell ref="M33:M36"/>
    <mergeCell ref="N33:N36"/>
    <mergeCell ref="M37:M40"/>
    <mergeCell ref="N37:N40"/>
    <mergeCell ref="H46:H49"/>
    <mergeCell ref="I46:I49"/>
    <mergeCell ref="R50:R54"/>
    <mergeCell ref="S50:S54"/>
    <mergeCell ref="R55:R58"/>
    <mergeCell ref="S55:S58"/>
    <mergeCell ref="M55:M58"/>
    <mergeCell ref="N55:N58"/>
    <mergeCell ref="O31:Q31"/>
    <mergeCell ref="R31:R32"/>
    <mergeCell ref="S31:S32"/>
    <mergeCell ref="R33:R36"/>
    <mergeCell ref="R37:R40"/>
    <mergeCell ref="S37:S40"/>
    <mergeCell ref="R41:R45"/>
    <mergeCell ref="S41:S45"/>
    <mergeCell ref="M41:M45"/>
    <mergeCell ref="N41:N45"/>
    <mergeCell ref="M46:M49"/>
    <mergeCell ref="N46:N49"/>
    <mergeCell ref="M50:M54"/>
    <mergeCell ref="N50:N54"/>
    <mergeCell ref="S33:S36"/>
    <mergeCell ref="W55:W58"/>
    <mergeCell ref="X55:X58"/>
    <mergeCell ref="A31:A32"/>
    <mergeCell ref="A33:A36"/>
    <mergeCell ref="A37:A40"/>
    <mergeCell ref="A41:A45"/>
    <mergeCell ref="A46:A49"/>
    <mergeCell ref="A50:A54"/>
    <mergeCell ref="A55:A58"/>
    <mergeCell ref="W41:W45"/>
    <mergeCell ref="X41:X45"/>
    <mergeCell ref="W46:W49"/>
    <mergeCell ref="X46:X49"/>
    <mergeCell ref="W50:W54"/>
    <mergeCell ref="X50:X54"/>
    <mergeCell ref="T31:V31"/>
    <mergeCell ref="W31:W32"/>
    <mergeCell ref="X31:X32"/>
    <mergeCell ref="W33:W36"/>
    <mergeCell ref="X33:X36"/>
    <mergeCell ref="W37:W40"/>
    <mergeCell ref="X37:X40"/>
    <mergeCell ref="R46:R49"/>
    <mergeCell ref="S46:S49"/>
    <mergeCell ref="A71:A75"/>
    <mergeCell ref="A76:A79"/>
    <mergeCell ref="A80:A84"/>
    <mergeCell ref="A85:A88"/>
    <mergeCell ref="E61:G61"/>
    <mergeCell ref="H61:H62"/>
    <mergeCell ref="H76:H79"/>
    <mergeCell ref="A61:A62"/>
    <mergeCell ref="B61:B62"/>
    <mergeCell ref="C61:C62"/>
    <mergeCell ref="D61:D62"/>
    <mergeCell ref="A63:A66"/>
    <mergeCell ref="A67:A70"/>
    <mergeCell ref="I76:I79"/>
    <mergeCell ref="H80:H84"/>
    <mergeCell ref="I80:I84"/>
    <mergeCell ref="H85:H88"/>
    <mergeCell ref="I85:I88"/>
    <mergeCell ref="J61:L61"/>
    <mergeCell ref="I61:I62"/>
    <mergeCell ref="H63:H66"/>
    <mergeCell ref="I63:I66"/>
    <mergeCell ref="H67:H70"/>
    <mergeCell ref="I67:I70"/>
    <mergeCell ref="H71:H75"/>
    <mergeCell ref="I71:I75"/>
    <mergeCell ref="O61:Q61"/>
    <mergeCell ref="R61:R62"/>
    <mergeCell ref="S61:S62"/>
    <mergeCell ref="R63:R66"/>
    <mergeCell ref="S63:S66"/>
    <mergeCell ref="R67:R70"/>
    <mergeCell ref="S67:S70"/>
    <mergeCell ref="R71:R75"/>
    <mergeCell ref="M71:M75"/>
    <mergeCell ref="N71:N75"/>
    <mergeCell ref="M61:M62"/>
    <mergeCell ref="N61:N62"/>
    <mergeCell ref="M63:M66"/>
    <mergeCell ref="N63:N66"/>
    <mergeCell ref="M67:M70"/>
    <mergeCell ref="N67:N70"/>
    <mergeCell ref="S71:S75"/>
    <mergeCell ref="R76:R79"/>
    <mergeCell ref="S76:S79"/>
    <mergeCell ref="R80:R84"/>
    <mergeCell ref="S80:S84"/>
    <mergeCell ref="R85:R88"/>
    <mergeCell ref="S85:S88"/>
    <mergeCell ref="M85:M88"/>
    <mergeCell ref="N85:N88"/>
    <mergeCell ref="M76:M79"/>
    <mergeCell ref="N76:N79"/>
    <mergeCell ref="M80:M84"/>
    <mergeCell ref="N80:N84"/>
    <mergeCell ref="W71:W75"/>
    <mergeCell ref="X71:X75"/>
    <mergeCell ref="W76:W79"/>
    <mergeCell ref="X76:X79"/>
    <mergeCell ref="W80:W84"/>
    <mergeCell ref="X80:X84"/>
    <mergeCell ref="T61:V61"/>
    <mergeCell ref="W61:W62"/>
    <mergeCell ref="X61:X62"/>
    <mergeCell ref="W63:W66"/>
    <mergeCell ref="X63:X66"/>
    <mergeCell ref="W67:W70"/>
    <mergeCell ref="X67:X70"/>
    <mergeCell ref="A93:A96"/>
    <mergeCell ref="A97:A100"/>
    <mergeCell ref="A101:A105"/>
    <mergeCell ref="A106:A109"/>
    <mergeCell ref="A110:A114"/>
    <mergeCell ref="A115:A118"/>
    <mergeCell ref="W85:W88"/>
    <mergeCell ref="X85:X88"/>
    <mergeCell ref="A91:A92"/>
    <mergeCell ref="B91:B92"/>
    <mergeCell ref="C91:C92"/>
    <mergeCell ref="D91:D92"/>
    <mergeCell ref="E91:G91"/>
    <mergeCell ref="H91:H92"/>
    <mergeCell ref="I91:I92"/>
    <mergeCell ref="J91:L91"/>
    <mergeCell ref="H106:H109"/>
    <mergeCell ref="I106:I109"/>
    <mergeCell ref="H110:H114"/>
    <mergeCell ref="I110:I114"/>
    <mergeCell ref="H115:H118"/>
    <mergeCell ref="I115:I118"/>
    <mergeCell ref="H93:H96"/>
    <mergeCell ref="I93:I96"/>
    <mergeCell ref="H97:H100"/>
    <mergeCell ref="I97:I100"/>
    <mergeCell ref="H101:H105"/>
    <mergeCell ref="I101:I105"/>
    <mergeCell ref="O91:Q91"/>
    <mergeCell ref="R91:R92"/>
    <mergeCell ref="S91:S92"/>
    <mergeCell ref="R93:R96"/>
    <mergeCell ref="S93:S96"/>
    <mergeCell ref="R97:R100"/>
    <mergeCell ref="S97:S100"/>
    <mergeCell ref="R101:R105"/>
    <mergeCell ref="M101:M105"/>
    <mergeCell ref="N101:N105"/>
    <mergeCell ref="M91:M92"/>
    <mergeCell ref="N91:N92"/>
    <mergeCell ref="M93:M96"/>
    <mergeCell ref="N93:N96"/>
    <mergeCell ref="M97:M100"/>
    <mergeCell ref="N97:N100"/>
    <mergeCell ref="S101:S105"/>
    <mergeCell ref="R106:R109"/>
    <mergeCell ref="S106:S109"/>
    <mergeCell ref="R110:R114"/>
    <mergeCell ref="S110:S114"/>
    <mergeCell ref="R115:R118"/>
    <mergeCell ref="S115:S118"/>
    <mergeCell ref="M115:M118"/>
    <mergeCell ref="N115:N118"/>
    <mergeCell ref="M106:M109"/>
    <mergeCell ref="N106:N109"/>
    <mergeCell ref="M110:M114"/>
    <mergeCell ref="N110:N114"/>
    <mergeCell ref="W115:W118"/>
    <mergeCell ref="X115:X118"/>
    <mergeCell ref="W101:W105"/>
    <mergeCell ref="X101:X105"/>
    <mergeCell ref="W106:W109"/>
    <mergeCell ref="X106:X109"/>
    <mergeCell ref="W110:W114"/>
    <mergeCell ref="X110:X114"/>
    <mergeCell ref="T91:V91"/>
    <mergeCell ref="W91:W92"/>
    <mergeCell ref="X91:X92"/>
    <mergeCell ref="W93:W96"/>
    <mergeCell ref="X93:X96"/>
    <mergeCell ref="W97:W100"/>
    <mergeCell ref="X97:X10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2025-12-20T06:23:11Z</dcterms:created>
  <dcterms:modified xsi:type="dcterms:W3CDTF">2025-12-20T09:05:50Z</dcterms:modified>
</cp:coreProperties>
</file>